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768" yWindow="768" windowWidth="17280" windowHeight="8964"/>
  </bookViews>
  <sheets>
    <sheet name="차이 금액" sheetId="4" r:id="rId1"/>
    <sheet name="국세청 금액" sheetId="1" r:id="rId2"/>
    <sheet name="SAP 금액" sheetId="2" r:id="rId3"/>
    <sheet name="사업장" sheetId="3" r:id="rId4"/>
    <sheet name="config" sheetId="5" r:id="rId5"/>
    <sheet name="총괄종사업장 미등록" sheetId="6" r:id="rId6"/>
  </sheets>
  <definedNames>
    <definedName name="_xlnm._FilterDatabase" localSheetId="3" hidden="1">사업장!$B$4:$R$182</definedName>
    <definedName name="_xlnm._FilterDatabase" localSheetId="0" hidden="1">'차이 금액'!$B$3:$J$185</definedName>
  </definedNames>
  <calcPr calcId="145621"/>
</workbook>
</file>

<file path=xl/calcChain.xml><?xml version="1.0" encoding="utf-8"?>
<calcChain xmlns="http://schemas.openxmlformats.org/spreadsheetml/2006/main">
  <c r="M2" i="6" l="1"/>
  <c r="P2" i="6" s="1"/>
  <c r="R2" i="6" s="1"/>
  <c r="L2" i="6"/>
  <c r="O2" i="6" s="1"/>
  <c r="K2" i="6"/>
  <c r="N2" i="6" s="1"/>
  <c r="Q2" i="6" s="1"/>
  <c r="J2" i="6"/>
  <c r="I2" i="6"/>
  <c r="H2" i="6"/>
  <c r="G2" i="6"/>
  <c r="F2" i="6"/>
  <c r="E2" i="6"/>
  <c r="E241" i="3" l="1"/>
  <c r="F241" i="3"/>
  <c r="G241" i="3"/>
  <c r="H241" i="3"/>
  <c r="I241" i="3"/>
  <c r="J241" i="3"/>
  <c r="K241" i="3"/>
  <c r="L241" i="3"/>
  <c r="O241" i="3" s="1"/>
  <c r="M241" i="3"/>
  <c r="P241" i="3" s="1"/>
  <c r="R241" i="3" s="1"/>
  <c r="E185" i="3"/>
  <c r="F185" i="3"/>
  <c r="G185" i="3"/>
  <c r="H185" i="3"/>
  <c r="I185" i="3"/>
  <c r="J185" i="3"/>
  <c r="K185" i="3"/>
  <c r="L185" i="3"/>
  <c r="O185" i="3" s="1"/>
  <c r="M185" i="3"/>
  <c r="P185" i="3" s="1"/>
  <c r="R185" i="3" s="1"/>
  <c r="E186" i="3"/>
  <c r="F186" i="3"/>
  <c r="G186" i="3"/>
  <c r="H186" i="3"/>
  <c r="I186" i="3"/>
  <c r="J186" i="3"/>
  <c r="K186" i="3"/>
  <c r="L186" i="3"/>
  <c r="O186" i="3" s="1"/>
  <c r="M186" i="3"/>
  <c r="P186" i="3" s="1"/>
  <c r="R186" i="3" s="1"/>
  <c r="E187" i="3"/>
  <c r="F187" i="3"/>
  <c r="G187" i="3"/>
  <c r="H187" i="3"/>
  <c r="I187" i="3"/>
  <c r="J187" i="3"/>
  <c r="K187" i="3"/>
  <c r="L187" i="3"/>
  <c r="O187" i="3" s="1"/>
  <c r="M187" i="3"/>
  <c r="P187" i="3" s="1"/>
  <c r="R187" i="3" s="1"/>
  <c r="E188" i="3"/>
  <c r="F188" i="3"/>
  <c r="G188" i="3"/>
  <c r="H188" i="3"/>
  <c r="I188" i="3"/>
  <c r="J188" i="3"/>
  <c r="K188" i="3"/>
  <c r="L188" i="3"/>
  <c r="O188" i="3" s="1"/>
  <c r="M188" i="3"/>
  <c r="P188" i="3" s="1"/>
  <c r="R188" i="3" s="1"/>
  <c r="E189" i="3"/>
  <c r="F189" i="3"/>
  <c r="G189" i="3"/>
  <c r="H189" i="3"/>
  <c r="I189" i="3"/>
  <c r="J189" i="3"/>
  <c r="K189" i="3"/>
  <c r="L189" i="3"/>
  <c r="O189" i="3" s="1"/>
  <c r="M189" i="3"/>
  <c r="P189" i="3" s="1"/>
  <c r="R189" i="3" s="1"/>
  <c r="E190" i="3"/>
  <c r="F190" i="3"/>
  <c r="G190" i="3"/>
  <c r="H190" i="3"/>
  <c r="I190" i="3"/>
  <c r="J190" i="3"/>
  <c r="K190" i="3"/>
  <c r="N190" i="3" s="1"/>
  <c r="L190" i="3"/>
  <c r="O190" i="3" s="1"/>
  <c r="M190" i="3"/>
  <c r="P190" i="3" s="1"/>
  <c r="R190" i="3" s="1"/>
  <c r="E191" i="3"/>
  <c r="F191" i="3"/>
  <c r="G191" i="3"/>
  <c r="H191" i="3"/>
  <c r="I191" i="3"/>
  <c r="J191" i="3"/>
  <c r="K191" i="3"/>
  <c r="L191" i="3"/>
  <c r="O191" i="3" s="1"/>
  <c r="M191" i="3"/>
  <c r="P191" i="3" s="1"/>
  <c r="R191" i="3" s="1"/>
  <c r="E192" i="3"/>
  <c r="F192" i="3"/>
  <c r="G192" i="3"/>
  <c r="H192" i="3"/>
  <c r="I192" i="3"/>
  <c r="J192" i="3"/>
  <c r="K192" i="3"/>
  <c r="L192" i="3"/>
  <c r="O192" i="3" s="1"/>
  <c r="M192" i="3"/>
  <c r="P192" i="3" s="1"/>
  <c r="R192" i="3" s="1"/>
  <c r="E193" i="3"/>
  <c r="F193" i="3"/>
  <c r="G193" i="3"/>
  <c r="H193" i="3"/>
  <c r="I193" i="3"/>
  <c r="J193" i="3"/>
  <c r="K193" i="3"/>
  <c r="L193" i="3"/>
  <c r="M193" i="3"/>
  <c r="P193" i="3" s="1"/>
  <c r="R193" i="3" s="1"/>
  <c r="E194" i="3"/>
  <c r="F194" i="3"/>
  <c r="G194" i="3"/>
  <c r="H194" i="3"/>
  <c r="I194" i="3"/>
  <c r="J194" i="3"/>
  <c r="K194" i="3"/>
  <c r="N194" i="3" s="1"/>
  <c r="L194" i="3"/>
  <c r="O194" i="3" s="1"/>
  <c r="M194" i="3"/>
  <c r="P194" i="3" s="1"/>
  <c r="R194" i="3" s="1"/>
  <c r="E195" i="3"/>
  <c r="F195" i="3"/>
  <c r="G195" i="3"/>
  <c r="H195" i="3"/>
  <c r="I195" i="3"/>
  <c r="J195" i="3"/>
  <c r="K195" i="3"/>
  <c r="L195" i="3"/>
  <c r="M195" i="3"/>
  <c r="E196" i="3"/>
  <c r="F196" i="3"/>
  <c r="G196" i="3"/>
  <c r="H196" i="3"/>
  <c r="I196" i="3"/>
  <c r="J196" i="3"/>
  <c r="K196" i="3"/>
  <c r="L196" i="3"/>
  <c r="M196" i="3"/>
  <c r="P196" i="3" s="1"/>
  <c r="R196" i="3" s="1"/>
  <c r="E197" i="3"/>
  <c r="F197" i="3"/>
  <c r="G197" i="3"/>
  <c r="H197" i="3"/>
  <c r="I197" i="3"/>
  <c r="J197" i="3"/>
  <c r="K197" i="3"/>
  <c r="L197" i="3"/>
  <c r="M197" i="3"/>
  <c r="P197" i="3" s="1"/>
  <c r="R197" i="3" s="1"/>
  <c r="E198" i="3"/>
  <c r="F198" i="3"/>
  <c r="G198" i="3"/>
  <c r="H198" i="3"/>
  <c r="I198" i="3"/>
  <c r="J198" i="3"/>
  <c r="K198" i="3"/>
  <c r="N198" i="3" s="1"/>
  <c r="L198" i="3"/>
  <c r="O198" i="3" s="1"/>
  <c r="M198" i="3"/>
  <c r="E199" i="3"/>
  <c r="F199" i="3"/>
  <c r="G199" i="3"/>
  <c r="H199" i="3"/>
  <c r="I199" i="3"/>
  <c r="J199" i="3"/>
  <c r="K199" i="3"/>
  <c r="L199" i="3"/>
  <c r="M199" i="3"/>
  <c r="E200" i="3"/>
  <c r="F200" i="3"/>
  <c r="G200" i="3"/>
  <c r="H200" i="3"/>
  <c r="I200" i="3"/>
  <c r="J200" i="3"/>
  <c r="K200" i="3"/>
  <c r="L200" i="3"/>
  <c r="M200" i="3"/>
  <c r="P200" i="3" s="1"/>
  <c r="R200" i="3" s="1"/>
  <c r="E201" i="3"/>
  <c r="F201" i="3"/>
  <c r="G201" i="3"/>
  <c r="H201" i="3"/>
  <c r="I201" i="3"/>
  <c r="J201" i="3"/>
  <c r="K201" i="3"/>
  <c r="L201" i="3"/>
  <c r="M201" i="3"/>
  <c r="P201" i="3" s="1"/>
  <c r="R201" i="3" s="1"/>
  <c r="E202" i="3"/>
  <c r="F202" i="3"/>
  <c r="G202" i="3"/>
  <c r="H202" i="3"/>
  <c r="I202" i="3"/>
  <c r="J202" i="3"/>
  <c r="K202" i="3"/>
  <c r="L202" i="3"/>
  <c r="O202" i="3" s="1"/>
  <c r="M202" i="3"/>
  <c r="E203" i="3"/>
  <c r="F203" i="3"/>
  <c r="G203" i="3"/>
  <c r="H203" i="3"/>
  <c r="I203" i="3"/>
  <c r="J203" i="3"/>
  <c r="K203" i="3"/>
  <c r="L203" i="3"/>
  <c r="M203" i="3"/>
  <c r="E204" i="3"/>
  <c r="F204" i="3"/>
  <c r="G204" i="3"/>
  <c r="H204" i="3"/>
  <c r="I204" i="3"/>
  <c r="J204" i="3"/>
  <c r="K204" i="3"/>
  <c r="L204" i="3"/>
  <c r="M204" i="3"/>
  <c r="P204" i="3" s="1"/>
  <c r="R204" i="3" s="1"/>
  <c r="E205" i="3"/>
  <c r="F205" i="3"/>
  <c r="G205" i="3"/>
  <c r="H205" i="3"/>
  <c r="I205" i="3"/>
  <c r="J205" i="3"/>
  <c r="K205" i="3"/>
  <c r="L205" i="3"/>
  <c r="M205" i="3"/>
  <c r="P205" i="3" s="1"/>
  <c r="R205" i="3" s="1"/>
  <c r="E206" i="3"/>
  <c r="F206" i="3"/>
  <c r="G206" i="3"/>
  <c r="H206" i="3"/>
  <c r="I206" i="3"/>
  <c r="J206" i="3"/>
  <c r="K206" i="3"/>
  <c r="L206" i="3"/>
  <c r="O206" i="3" s="1"/>
  <c r="M206" i="3"/>
  <c r="E207" i="3"/>
  <c r="F207" i="3"/>
  <c r="G207" i="3"/>
  <c r="H207" i="3"/>
  <c r="I207" i="3"/>
  <c r="J207" i="3"/>
  <c r="K207" i="3"/>
  <c r="L207" i="3"/>
  <c r="M207" i="3"/>
  <c r="E208" i="3"/>
  <c r="F208" i="3"/>
  <c r="G208" i="3"/>
  <c r="H208" i="3"/>
  <c r="I208" i="3"/>
  <c r="J208" i="3"/>
  <c r="K208" i="3"/>
  <c r="L208" i="3"/>
  <c r="M208" i="3"/>
  <c r="P208" i="3" s="1"/>
  <c r="R208" i="3" s="1"/>
  <c r="E209" i="3"/>
  <c r="F209" i="3"/>
  <c r="G209" i="3"/>
  <c r="H209" i="3"/>
  <c r="I209" i="3"/>
  <c r="J209" i="3"/>
  <c r="K209" i="3"/>
  <c r="L209" i="3"/>
  <c r="M209" i="3"/>
  <c r="P209" i="3" s="1"/>
  <c r="R209" i="3" s="1"/>
  <c r="E210" i="3"/>
  <c r="F210" i="3"/>
  <c r="G210" i="3"/>
  <c r="H210" i="3"/>
  <c r="I210" i="3"/>
  <c r="J210" i="3"/>
  <c r="K210" i="3"/>
  <c r="N210" i="3" s="1"/>
  <c r="L210" i="3"/>
  <c r="O210" i="3" s="1"/>
  <c r="M210" i="3"/>
  <c r="E211" i="3"/>
  <c r="F211" i="3"/>
  <c r="G211" i="3"/>
  <c r="H211" i="3"/>
  <c r="I211" i="3"/>
  <c r="J211" i="3"/>
  <c r="K211" i="3"/>
  <c r="L211" i="3"/>
  <c r="M211" i="3"/>
  <c r="E212" i="3"/>
  <c r="F212" i="3"/>
  <c r="G212" i="3"/>
  <c r="H212" i="3"/>
  <c r="I212" i="3"/>
  <c r="J212" i="3"/>
  <c r="K212" i="3"/>
  <c r="L212" i="3"/>
  <c r="M212" i="3"/>
  <c r="P212" i="3" s="1"/>
  <c r="R212" i="3" s="1"/>
  <c r="E213" i="3"/>
  <c r="F213" i="3"/>
  <c r="G213" i="3"/>
  <c r="H213" i="3"/>
  <c r="I213" i="3"/>
  <c r="J213" i="3"/>
  <c r="K213" i="3"/>
  <c r="L213" i="3"/>
  <c r="M213" i="3"/>
  <c r="P213" i="3" s="1"/>
  <c r="R213" i="3" s="1"/>
  <c r="E214" i="3"/>
  <c r="F214" i="3"/>
  <c r="G214" i="3"/>
  <c r="H214" i="3"/>
  <c r="I214" i="3"/>
  <c r="J214" i="3"/>
  <c r="K214" i="3"/>
  <c r="N214" i="3" s="1"/>
  <c r="L214" i="3"/>
  <c r="O214" i="3" s="1"/>
  <c r="M214" i="3"/>
  <c r="E215" i="3"/>
  <c r="F215" i="3"/>
  <c r="G215" i="3"/>
  <c r="H215" i="3"/>
  <c r="I215" i="3"/>
  <c r="J215" i="3"/>
  <c r="K215" i="3"/>
  <c r="L215" i="3"/>
  <c r="M215" i="3"/>
  <c r="E216" i="3"/>
  <c r="F216" i="3"/>
  <c r="G216" i="3"/>
  <c r="H216" i="3"/>
  <c r="I216" i="3"/>
  <c r="J216" i="3"/>
  <c r="K216" i="3"/>
  <c r="L216" i="3"/>
  <c r="M216" i="3"/>
  <c r="P216" i="3" s="1"/>
  <c r="R216" i="3" s="1"/>
  <c r="E217" i="3"/>
  <c r="F217" i="3"/>
  <c r="G217" i="3"/>
  <c r="H217" i="3"/>
  <c r="I217" i="3"/>
  <c r="J217" i="3"/>
  <c r="K217" i="3"/>
  <c r="L217" i="3"/>
  <c r="M217" i="3"/>
  <c r="P217" i="3" s="1"/>
  <c r="R217" i="3" s="1"/>
  <c r="E218" i="3"/>
  <c r="F218" i="3"/>
  <c r="G218" i="3"/>
  <c r="H218" i="3"/>
  <c r="I218" i="3"/>
  <c r="J218" i="3"/>
  <c r="K218" i="3"/>
  <c r="N218" i="3" s="1"/>
  <c r="L218" i="3"/>
  <c r="O218" i="3" s="1"/>
  <c r="M218" i="3"/>
  <c r="E219" i="3"/>
  <c r="F219" i="3"/>
  <c r="G219" i="3"/>
  <c r="H219" i="3"/>
  <c r="I219" i="3"/>
  <c r="J219" i="3"/>
  <c r="K219" i="3"/>
  <c r="L219" i="3"/>
  <c r="M219" i="3"/>
  <c r="E220" i="3"/>
  <c r="F220" i="3"/>
  <c r="G220" i="3"/>
  <c r="H220" i="3"/>
  <c r="I220" i="3"/>
  <c r="J220" i="3"/>
  <c r="K220" i="3"/>
  <c r="L220" i="3"/>
  <c r="M220" i="3"/>
  <c r="P220" i="3" s="1"/>
  <c r="R220" i="3" s="1"/>
  <c r="E221" i="3"/>
  <c r="F221" i="3"/>
  <c r="G221" i="3"/>
  <c r="H221" i="3"/>
  <c r="I221" i="3"/>
  <c r="J221" i="3"/>
  <c r="K221" i="3"/>
  <c r="L221" i="3"/>
  <c r="M221" i="3"/>
  <c r="P221" i="3" s="1"/>
  <c r="R221" i="3" s="1"/>
  <c r="E222" i="3"/>
  <c r="F222" i="3"/>
  <c r="G222" i="3"/>
  <c r="H222" i="3"/>
  <c r="I222" i="3"/>
  <c r="J222" i="3"/>
  <c r="K222" i="3"/>
  <c r="N222" i="3" s="1"/>
  <c r="L222" i="3"/>
  <c r="O222" i="3" s="1"/>
  <c r="M222" i="3"/>
  <c r="E223" i="3"/>
  <c r="F223" i="3"/>
  <c r="G223" i="3"/>
  <c r="H223" i="3"/>
  <c r="I223" i="3"/>
  <c r="J223" i="3"/>
  <c r="K223" i="3"/>
  <c r="L223" i="3"/>
  <c r="M223" i="3"/>
  <c r="E224" i="3"/>
  <c r="F224" i="3"/>
  <c r="G224" i="3"/>
  <c r="H224" i="3"/>
  <c r="I224" i="3"/>
  <c r="J224" i="3"/>
  <c r="K224" i="3"/>
  <c r="L224" i="3"/>
  <c r="M224" i="3"/>
  <c r="P224" i="3" s="1"/>
  <c r="R224" i="3" s="1"/>
  <c r="E225" i="3"/>
  <c r="F225" i="3"/>
  <c r="G225" i="3"/>
  <c r="H225" i="3"/>
  <c r="I225" i="3"/>
  <c r="J225" i="3"/>
  <c r="K225" i="3"/>
  <c r="L225" i="3"/>
  <c r="M225" i="3"/>
  <c r="P225" i="3" s="1"/>
  <c r="R225" i="3" s="1"/>
  <c r="E226" i="3"/>
  <c r="F226" i="3"/>
  <c r="G226" i="3"/>
  <c r="H226" i="3"/>
  <c r="I226" i="3"/>
  <c r="J226" i="3"/>
  <c r="K226" i="3"/>
  <c r="N226" i="3" s="1"/>
  <c r="L226" i="3"/>
  <c r="O226" i="3" s="1"/>
  <c r="M226" i="3"/>
  <c r="E227" i="3"/>
  <c r="F227" i="3"/>
  <c r="G227" i="3"/>
  <c r="H227" i="3"/>
  <c r="I227" i="3"/>
  <c r="J227" i="3"/>
  <c r="K227" i="3"/>
  <c r="L227" i="3"/>
  <c r="M227" i="3"/>
  <c r="E228" i="3"/>
  <c r="F228" i="3"/>
  <c r="G228" i="3"/>
  <c r="H228" i="3"/>
  <c r="I228" i="3"/>
  <c r="J228" i="3"/>
  <c r="K228" i="3"/>
  <c r="L228" i="3"/>
  <c r="M228" i="3"/>
  <c r="P228" i="3" s="1"/>
  <c r="R228" i="3" s="1"/>
  <c r="E229" i="3"/>
  <c r="F229" i="3"/>
  <c r="G229" i="3"/>
  <c r="H229" i="3"/>
  <c r="I229" i="3"/>
  <c r="J229" i="3"/>
  <c r="K229" i="3"/>
  <c r="L229" i="3"/>
  <c r="M229" i="3"/>
  <c r="P229" i="3" s="1"/>
  <c r="R229" i="3" s="1"/>
  <c r="E230" i="3"/>
  <c r="F230" i="3"/>
  <c r="G230" i="3"/>
  <c r="H230" i="3"/>
  <c r="I230" i="3"/>
  <c r="J230" i="3"/>
  <c r="K230" i="3"/>
  <c r="L230" i="3"/>
  <c r="O230" i="3" s="1"/>
  <c r="M230" i="3"/>
  <c r="E231" i="3"/>
  <c r="F231" i="3"/>
  <c r="G231" i="3"/>
  <c r="H231" i="3"/>
  <c r="I231" i="3"/>
  <c r="J231" i="3"/>
  <c r="K231" i="3"/>
  <c r="L231" i="3"/>
  <c r="M231" i="3"/>
  <c r="E232" i="3"/>
  <c r="F232" i="3"/>
  <c r="G232" i="3"/>
  <c r="H232" i="3"/>
  <c r="I232" i="3"/>
  <c r="J232" i="3"/>
  <c r="K232" i="3"/>
  <c r="L232" i="3"/>
  <c r="M232" i="3"/>
  <c r="P232" i="3" s="1"/>
  <c r="R232" i="3" s="1"/>
  <c r="E233" i="3"/>
  <c r="F233" i="3"/>
  <c r="G233" i="3"/>
  <c r="H233" i="3"/>
  <c r="I233" i="3"/>
  <c r="J233" i="3"/>
  <c r="K233" i="3"/>
  <c r="L233" i="3"/>
  <c r="O233" i="3" s="1"/>
  <c r="M233" i="3"/>
  <c r="P233" i="3" s="1"/>
  <c r="R233" i="3" s="1"/>
  <c r="E234" i="3"/>
  <c r="F234" i="3"/>
  <c r="G234" i="3"/>
  <c r="H234" i="3"/>
  <c r="I234" i="3"/>
  <c r="J234" i="3"/>
  <c r="K234" i="3"/>
  <c r="L234" i="3"/>
  <c r="M234" i="3"/>
  <c r="E235" i="3"/>
  <c r="F235" i="3"/>
  <c r="G235" i="3"/>
  <c r="H235" i="3"/>
  <c r="I235" i="3"/>
  <c r="J235" i="3"/>
  <c r="K235" i="3"/>
  <c r="L235" i="3"/>
  <c r="M235" i="3"/>
  <c r="E236" i="3"/>
  <c r="F236" i="3"/>
  <c r="G236" i="3"/>
  <c r="H236" i="3"/>
  <c r="I236" i="3"/>
  <c r="J236" i="3"/>
  <c r="K236" i="3"/>
  <c r="L236" i="3"/>
  <c r="M236" i="3"/>
  <c r="P236" i="3" s="1"/>
  <c r="R236" i="3" s="1"/>
  <c r="E237" i="3"/>
  <c r="F237" i="3"/>
  <c r="G237" i="3"/>
  <c r="H237" i="3"/>
  <c r="I237" i="3"/>
  <c r="J237" i="3"/>
  <c r="K237" i="3"/>
  <c r="L237" i="3"/>
  <c r="O237" i="3" s="1"/>
  <c r="M237" i="3"/>
  <c r="P237" i="3" s="1"/>
  <c r="R237" i="3" s="1"/>
  <c r="E238" i="3"/>
  <c r="F238" i="3"/>
  <c r="G238" i="3"/>
  <c r="H238" i="3"/>
  <c r="I238" i="3"/>
  <c r="J238" i="3"/>
  <c r="K238" i="3"/>
  <c r="N238" i="3" s="1"/>
  <c r="L238" i="3"/>
  <c r="M238" i="3"/>
  <c r="E239" i="3"/>
  <c r="F239" i="3"/>
  <c r="G239" i="3"/>
  <c r="H239" i="3"/>
  <c r="I239" i="3"/>
  <c r="J239" i="3"/>
  <c r="K239" i="3"/>
  <c r="L239" i="3"/>
  <c r="M239" i="3"/>
  <c r="E240" i="3"/>
  <c r="F240" i="3"/>
  <c r="G240" i="3"/>
  <c r="H240" i="3"/>
  <c r="I240" i="3"/>
  <c r="J240" i="3"/>
  <c r="K240" i="3"/>
  <c r="L240" i="3"/>
  <c r="M240" i="3"/>
  <c r="N237" i="3" l="1"/>
  <c r="P235" i="3"/>
  <c r="R235" i="3" s="1"/>
  <c r="N233" i="3"/>
  <c r="P231" i="3"/>
  <c r="R231" i="3" s="1"/>
  <c r="N229" i="3"/>
  <c r="O228" i="3"/>
  <c r="P227" i="3"/>
  <c r="R227" i="3" s="1"/>
  <c r="O224" i="3"/>
  <c r="P223" i="3"/>
  <c r="R223" i="3" s="1"/>
  <c r="O220" i="3"/>
  <c r="P219" i="3"/>
  <c r="R219" i="3" s="1"/>
  <c r="O216" i="3"/>
  <c r="P215" i="3"/>
  <c r="R215" i="3" s="1"/>
  <c r="O212" i="3"/>
  <c r="P211" i="3"/>
  <c r="R211" i="3" s="1"/>
  <c r="O208" i="3"/>
  <c r="P207" i="3"/>
  <c r="R207" i="3" s="1"/>
  <c r="O204" i="3"/>
  <c r="P203" i="3"/>
  <c r="R203" i="3" s="1"/>
  <c r="O200" i="3"/>
  <c r="P199" i="3"/>
  <c r="R199" i="3" s="1"/>
  <c r="O196" i="3"/>
  <c r="P195" i="3"/>
  <c r="R195" i="3" s="1"/>
  <c r="P239" i="3"/>
  <c r="R239" i="3" s="1"/>
  <c r="P226" i="3"/>
  <c r="R226" i="3" s="1"/>
  <c r="P222" i="3"/>
  <c r="R222" i="3" s="1"/>
  <c r="P218" i="3"/>
  <c r="R218" i="3" s="1"/>
  <c r="P214" i="3"/>
  <c r="R214" i="3" s="1"/>
  <c r="P210" i="3"/>
  <c r="R210" i="3" s="1"/>
  <c r="P206" i="3"/>
  <c r="R206" i="3" s="1"/>
  <c r="P202" i="3"/>
  <c r="R202" i="3" s="1"/>
  <c r="P198" i="3"/>
  <c r="R198" i="3" s="1"/>
  <c r="N240" i="3"/>
  <c r="P238" i="3"/>
  <c r="R238" i="3" s="1"/>
  <c r="N236" i="3"/>
  <c r="O235" i="3"/>
  <c r="P234" i="3"/>
  <c r="R234" i="3" s="1"/>
  <c r="N232" i="3"/>
  <c r="P230" i="3"/>
  <c r="R230" i="3" s="1"/>
  <c r="N228" i="3"/>
  <c r="Q228" i="3" s="1"/>
  <c r="N224" i="3"/>
  <c r="Q224" i="3" s="1"/>
  <c r="N220" i="3"/>
  <c r="Q220" i="3" s="1"/>
  <c r="N216" i="3"/>
  <c r="Q216" i="3" s="1"/>
  <c r="N212" i="3"/>
  <c r="Q212" i="3" s="1"/>
  <c r="N208" i="3"/>
  <c r="Q208" i="3" s="1"/>
  <c r="N204" i="3"/>
  <c r="Q204" i="3" s="1"/>
  <c r="N200" i="3"/>
  <c r="N196" i="3"/>
  <c r="Q196" i="3" s="1"/>
  <c r="N192" i="3"/>
  <c r="Q192" i="3" s="1"/>
  <c r="N188" i="3"/>
  <c r="Q188" i="3" s="1"/>
  <c r="O240" i="3"/>
  <c r="O239" i="3"/>
  <c r="N239" i="3"/>
  <c r="N235" i="3"/>
  <c r="N231" i="3"/>
  <c r="N227" i="3"/>
  <c r="N223" i="3"/>
  <c r="N219" i="3"/>
  <c r="N215" i="3"/>
  <c r="N211" i="3"/>
  <c r="N207" i="3"/>
  <c r="N203" i="3"/>
  <c r="N199" i="3"/>
  <c r="N195" i="3"/>
  <c r="N191" i="3"/>
  <c r="Q191" i="3" s="1"/>
  <c r="N187" i="3"/>
  <c r="Q187" i="3" s="1"/>
  <c r="N241" i="3"/>
  <c r="Q241" i="3" s="1"/>
  <c r="N234" i="3"/>
  <c r="N230" i="3"/>
  <c r="Q230" i="3" s="1"/>
  <c r="N206" i="3"/>
  <c r="Q206" i="3" s="1"/>
  <c r="N202" i="3"/>
  <c r="Q202" i="3" s="1"/>
  <c r="N186" i="3"/>
  <c r="Q186" i="3" s="1"/>
  <c r="N225" i="3"/>
  <c r="N221" i="3"/>
  <c r="N217" i="3"/>
  <c r="N213" i="3"/>
  <c r="N209" i="3"/>
  <c r="N205" i="3"/>
  <c r="N201" i="3"/>
  <c r="N197" i="3"/>
  <c r="N193" i="3"/>
  <c r="N189" i="3"/>
  <c r="Q189" i="3" s="1"/>
  <c r="N185" i="3"/>
  <c r="Q185" i="3" s="1"/>
  <c r="Q237" i="3"/>
  <c r="O205" i="3"/>
  <c r="Q200" i="3"/>
  <c r="O197" i="3"/>
  <c r="O229" i="3"/>
  <c r="Q229" i="3" s="1"/>
  <c r="Q190" i="3"/>
  <c r="Q233" i="3"/>
  <c r="O221" i="3"/>
  <c r="O238" i="3"/>
  <c r="Q238" i="3" s="1"/>
  <c r="O213" i="3"/>
  <c r="O232" i="3"/>
  <c r="O234" i="3"/>
  <c r="O231" i="3"/>
  <c r="O223" i="3"/>
  <c r="Q222" i="3"/>
  <c r="O215" i="3"/>
  <c r="Q214" i="3"/>
  <c r="O207" i="3"/>
  <c r="O199" i="3"/>
  <c r="Q198" i="3"/>
  <c r="O236" i="3"/>
  <c r="O225" i="3"/>
  <c r="O217" i="3"/>
  <c r="O209" i="3"/>
  <c r="O201" i="3"/>
  <c r="O193" i="3"/>
  <c r="O227" i="3"/>
  <c r="Q226" i="3"/>
  <c r="O219" i="3"/>
  <c r="Q218" i="3"/>
  <c r="O211" i="3"/>
  <c r="Q210" i="3"/>
  <c r="O203" i="3"/>
  <c r="O195" i="3"/>
  <c r="Q194" i="3"/>
  <c r="P240" i="3"/>
  <c r="R240" i="3" s="1"/>
  <c r="E183" i="3"/>
  <c r="F183" i="3"/>
  <c r="G183" i="3"/>
  <c r="H183" i="3"/>
  <c r="I183" i="3"/>
  <c r="J183" i="3"/>
  <c r="K183" i="3"/>
  <c r="L183" i="3"/>
  <c r="M183" i="3"/>
  <c r="E184" i="3"/>
  <c r="F184" i="3"/>
  <c r="G184" i="3"/>
  <c r="H184" i="3"/>
  <c r="I184" i="3"/>
  <c r="J184" i="3"/>
  <c r="K184" i="3"/>
  <c r="L184" i="3"/>
  <c r="M184" i="3"/>
  <c r="Q213" i="3" l="1"/>
  <c r="Q240" i="3"/>
  <c r="Q211" i="3"/>
  <c r="Q227" i="3"/>
  <c r="Q234" i="3"/>
  <c r="Q197" i="3"/>
  <c r="Q195" i="3"/>
  <c r="Q239" i="3"/>
  <c r="Q223" i="3"/>
  <c r="Q209" i="3"/>
  <c r="Q193" i="3"/>
  <c r="Q225" i="3"/>
  <c r="Q207" i="3"/>
  <c r="Q205" i="3"/>
  <c r="Q232" i="3"/>
  <c r="Q235" i="3"/>
  <c r="Q221" i="3"/>
  <c r="Q217" i="3"/>
  <c r="Q215" i="3"/>
  <c r="Q203" i="3"/>
  <c r="Q219" i="3"/>
  <c r="Q201" i="3"/>
  <c r="Q236" i="3"/>
  <c r="Q199" i="3"/>
  <c r="Q231" i="3"/>
  <c r="P184" i="3"/>
  <c r="R184" i="3" s="1"/>
  <c r="P183" i="3"/>
  <c r="R183" i="3" s="1"/>
  <c r="N184" i="3"/>
  <c r="O183" i="3"/>
  <c r="N183" i="3"/>
  <c r="O184" i="3"/>
  <c r="M3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5" i="3"/>
  <c r="Q184" i="3" l="1"/>
  <c r="Q183" i="3"/>
  <c r="B184" i="4"/>
  <c r="C184" i="4"/>
  <c r="D184" i="4"/>
  <c r="B185" i="4"/>
  <c r="C185" i="4"/>
  <c r="D185" i="4"/>
  <c r="F184" i="4" l="1"/>
  <c r="F185" i="4"/>
  <c r="I185" i="4" l="1"/>
  <c r="G185" i="4"/>
  <c r="I184" i="4"/>
  <c r="G184" i="4"/>
  <c r="H184" i="4"/>
  <c r="E184" i="4"/>
  <c r="H185" i="4"/>
  <c r="E185" i="4"/>
  <c r="I3" i="3"/>
  <c r="J185" i="4" l="1"/>
  <c r="J184" i="4"/>
  <c r="L3" i="3"/>
  <c r="K3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K14" i="3"/>
  <c r="L14" i="3"/>
  <c r="K15" i="3"/>
  <c r="L15" i="3"/>
  <c r="K16" i="3"/>
  <c r="L16" i="3"/>
  <c r="K17" i="3"/>
  <c r="L17" i="3"/>
  <c r="K18" i="3"/>
  <c r="L18" i="3"/>
  <c r="K19" i="3"/>
  <c r="L19" i="3"/>
  <c r="K20" i="3"/>
  <c r="L20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K45" i="3"/>
  <c r="L45" i="3"/>
  <c r="K46" i="3"/>
  <c r="L46" i="3"/>
  <c r="K47" i="3"/>
  <c r="L47" i="3"/>
  <c r="K48" i="3"/>
  <c r="L48" i="3"/>
  <c r="K49" i="3"/>
  <c r="L49" i="3"/>
  <c r="K50" i="3"/>
  <c r="L50" i="3"/>
  <c r="K51" i="3"/>
  <c r="L51" i="3"/>
  <c r="K52" i="3"/>
  <c r="L52" i="3"/>
  <c r="K53" i="3"/>
  <c r="L53" i="3"/>
  <c r="K54" i="3"/>
  <c r="L54" i="3"/>
  <c r="K55" i="3"/>
  <c r="L55" i="3"/>
  <c r="K56" i="3"/>
  <c r="L56" i="3"/>
  <c r="K57" i="3"/>
  <c r="L57" i="3"/>
  <c r="K58" i="3"/>
  <c r="L58" i="3"/>
  <c r="K59" i="3"/>
  <c r="L59" i="3"/>
  <c r="K60" i="3"/>
  <c r="L60" i="3"/>
  <c r="K61" i="3"/>
  <c r="L61" i="3"/>
  <c r="K62" i="3"/>
  <c r="L62" i="3"/>
  <c r="K63" i="3"/>
  <c r="L63" i="3"/>
  <c r="K64" i="3"/>
  <c r="L64" i="3"/>
  <c r="K65" i="3"/>
  <c r="L65" i="3"/>
  <c r="K66" i="3"/>
  <c r="L66" i="3"/>
  <c r="K67" i="3"/>
  <c r="L67" i="3"/>
  <c r="K68" i="3"/>
  <c r="L68" i="3"/>
  <c r="K69" i="3"/>
  <c r="L69" i="3"/>
  <c r="K70" i="3"/>
  <c r="L70" i="3"/>
  <c r="K71" i="3"/>
  <c r="L71" i="3"/>
  <c r="K72" i="3"/>
  <c r="L72" i="3"/>
  <c r="K73" i="3"/>
  <c r="L73" i="3"/>
  <c r="K74" i="3"/>
  <c r="L74" i="3"/>
  <c r="K75" i="3"/>
  <c r="L75" i="3"/>
  <c r="K76" i="3"/>
  <c r="L76" i="3"/>
  <c r="K77" i="3"/>
  <c r="L77" i="3"/>
  <c r="K78" i="3"/>
  <c r="L78" i="3"/>
  <c r="K79" i="3"/>
  <c r="L79" i="3"/>
  <c r="K80" i="3"/>
  <c r="L80" i="3"/>
  <c r="K81" i="3"/>
  <c r="L81" i="3"/>
  <c r="K82" i="3"/>
  <c r="L82" i="3"/>
  <c r="K83" i="3"/>
  <c r="L83" i="3"/>
  <c r="K84" i="3"/>
  <c r="L84" i="3"/>
  <c r="K85" i="3"/>
  <c r="L85" i="3"/>
  <c r="K86" i="3"/>
  <c r="L86" i="3"/>
  <c r="K87" i="3"/>
  <c r="L87" i="3"/>
  <c r="K88" i="3"/>
  <c r="L88" i="3"/>
  <c r="K89" i="3"/>
  <c r="L89" i="3"/>
  <c r="K90" i="3"/>
  <c r="L90" i="3"/>
  <c r="K91" i="3"/>
  <c r="L91" i="3"/>
  <c r="K92" i="3"/>
  <c r="L92" i="3"/>
  <c r="K93" i="3"/>
  <c r="L93" i="3"/>
  <c r="K94" i="3"/>
  <c r="L94" i="3"/>
  <c r="K95" i="3"/>
  <c r="L95" i="3"/>
  <c r="K96" i="3"/>
  <c r="L96" i="3"/>
  <c r="K97" i="3"/>
  <c r="L97" i="3"/>
  <c r="K98" i="3"/>
  <c r="L98" i="3"/>
  <c r="K99" i="3"/>
  <c r="L99" i="3"/>
  <c r="K100" i="3"/>
  <c r="L100" i="3"/>
  <c r="K101" i="3"/>
  <c r="L101" i="3"/>
  <c r="K102" i="3"/>
  <c r="L102" i="3"/>
  <c r="K103" i="3"/>
  <c r="L103" i="3"/>
  <c r="K104" i="3"/>
  <c r="L104" i="3"/>
  <c r="K105" i="3"/>
  <c r="L105" i="3"/>
  <c r="K106" i="3"/>
  <c r="L106" i="3"/>
  <c r="K107" i="3"/>
  <c r="L107" i="3"/>
  <c r="K108" i="3"/>
  <c r="L108" i="3"/>
  <c r="K109" i="3"/>
  <c r="L109" i="3"/>
  <c r="K110" i="3"/>
  <c r="L110" i="3"/>
  <c r="K111" i="3"/>
  <c r="L111" i="3"/>
  <c r="K112" i="3"/>
  <c r="L112" i="3"/>
  <c r="K113" i="3"/>
  <c r="L113" i="3"/>
  <c r="K114" i="3"/>
  <c r="L114" i="3"/>
  <c r="K115" i="3"/>
  <c r="L115" i="3"/>
  <c r="K116" i="3"/>
  <c r="L116" i="3"/>
  <c r="K117" i="3"/>
  <c r="L117" i="3"/>
  <c r="K118" i="3"/>
  <c r="L118" i="3"/>
  <c r="K119" i="3"/>
  <c r="L119" i="3"/>
  <c r="K120" i="3"/>
  <c r="L120" i="3"/>
  <c r="K121" i="3"/>
  <c r="L121" i="3"/>
  <c r="K122" i="3"/>
  <c r="L122" i="3"/>
  <c r="K123" i="3"/>
  <c r="L123" i="3"/>
  <c r="K124" i="3"/>
  <c r="L124" i="3"/>
  <c r="K125" i="3"/>
  <c r="L125" i="3"/>
  <c r="K126" i="3"/>
  <c r="L126" i="3"/>
  <c r="K127" i="3"/>
  <c r="L127" i="3"/>
  <c r="K128" i="3"/>
  <c r="L128" i="3"/>
  <c r="K129" i="3"/>
  <c r="L129" i="3"/>
  <c r="K130" i="3"/>
  <c r="L130" i="3"/>
  <c r="K131" i="3"/>
  <c r="L131" i="3"/>
  <c r="K132" i="3"/>
  <c r="L132" i="3"/>
  <c r="K133" i="3"/>
  <c r="L133" i="3"/>
  <c r="K134" i="3"/>
  <c r="L134" i="3"/>
  <c r="K135" i="3"/>
  <c r="L135" i="3"/>
  <c r="K136" i="3"/>
  <c r="L136" i="3"/>
  <c r="K137" i="3"/>
  <c r="L137" i="3"/>
  <c r="K138" i="3"/>
  <c r="L138" i="3"/>
  <c r="K139" i="3"/>
  <c r="L139" i="3"/>
  <c r="K140" i="3"/>
  <c r="L140" i="3"/>
  <c r="K141" i="3"/>
  <c r="L141" i="3"/>
  <c r="K142" i="3"/>
  <c r="L142" i="3"/>
  <c r="K143" i="3"/>
  <c r="L143" i="3"/>
  <c r="K144" i="3"/>
  <c r="L144" i="3"/>
  <c r="K145" i="3"/>
  <c r="L145" i="3"/>
  <c r="K146" i="3"/>
  <c r="L146" i="3"/>
  <c r="K147" i="3"/>
  <c r="L147" i="3"/>
  <c r="K148" i="3"/>
  <c r="L148" i="3"/>
  <c r="K149" i="3"/>
  <c r="L149" i="3"/>
  <c r="K150" i="3"/>
  <c r="L150" i="3"/>
  <c r="K151" i="3"/>
  <c r="L151" i="3"/>
  <c r="K152" i="3"/>
  <c r="L152" i="3"/>
  <c r="K153" i="3"/>
  <c r="L153" i="3"/>
  <c r="K154" i="3"/>
  <c r="L154" i="3"/>
  <c r="K155" i="3"/>
  <c r="L155" i="3"/>
  <c r="K156" i="3"/>
  <c r="L156" i="3"/>
  <c r="K157" i="3"/>
  <c r="L157" i="3"/>
  <c r="K158" i="3"/>
  <c r="L158" i="3"/>
  <c r="K159" i="3"/>
  <c r="L159" i="3"/>
  <c r="K160" i="3"/>
  <c r="L160" i="3"/>
  <c r="K161" i="3"/>
  <c r="L161" i="3"/>
  <c r="K162" i="3"/>
  <c r="L162" i="3"/>
  <c r="K163" i="3"/>
  <c r="L163" i="3"/>
  <c r="K164" i="3"/>
  <c r="L164" i="3"/>
  <c r="K165" i="3"/>
  <c r="L165" i="3"/>
  <c r="K166" i="3"/>
  <c r="L166" i="3"/>
  <c r="K167" i="3"/>
  <c r="L167" i="3"/>
  <c r="K168" i="3"/>
  <c r="L168" i="3"/>
  <c r="K169" i="3"/>
  <c r="L169" i="3"/>
  <c r="K170" i="3"/>
  <c r="L170" i="3"/>
  <c r="K171" i="3"/>
  <c r="L171" i="3"/>
  <c r="K172" i="3"/>
  <c r="L172" i="3"/>
  <c r="K173" i="3"/>
  <c r="L173" i="3"/>
  <c r="K174" i="3"/>
  <c r="L174" i="3"/>
  <c r="K175" i="3"/>
  <c r="L175" i="3"/>
  <c r="K176" i="3"/>
  <c r="L176" i="3"/>
  <c r="K177" i="3"/>
  <c r="L177" i="3"/>
  <c r="K178" i="3"/>
  <c r="L178" i="3"/>
  <c r="K179" i="3"/>
  <c r="L179" i="3"/>
  <c r="K180" i="3"/>
  <c r="L180" i="3"/>
  <c r="K181" i="3"/>
  <c r="L181" i="3"/>
  <c r="K182" i="3"/>
  <c r="L182" i="3"/>
  <c r="L5" i="3"/>
  <c r="K5" i="3"/>
  <c r="J3" i="3" l="1"/>
  <c r="P3" i="3" s="1"/>
  <c r="G4" i="4" s="1"/>
  <c r="O3" i="3"/>
  <c r="F4" i="4" s="1"/>
  <c r="H3" i="3"/>
  <c r="J6" i="3"/>
  <c r="P6" i="3" s="1"/>
  <c r="J7" i="3"/>
  <c r="P7" i="3" s="1"/>
  <c r="J8" i="3"/>
  <c r="P8" i="3" s="1"/>
  <c r="R8" i="3" s="1"/>
  <c r="I9" i="4" s="1"/>
  <c r="J9" i="3"/>
  <c r="P9" i="3" s="1"/>
  <c r="R9" i="3" s="1"/>
  <c r="I10" i="4" s="1"/>
  <c r="J10" i="3"/>
  <c r="P10" i="3" s="1"/>
  <c r="J11" i="3"/>
  <c r="P11" i="3" s="1"/>
  <c r="J12" i="3"/>
  <c r="P12" i="3" s="1"/>
  <c r="R12" i="3" s="1"/>
  <c r="I13" i="4" s="1"/>
  <c r="J13" i="3"/>
  <c r="P13" i="3" s="1"/>
  <c r="R13" i="3" s="1"/>
  <c r="I14" i="4" s="1"/>
  <c r="J14" i="3"/>
  <c r="P14" i="3" s="1"/>
  <c r="J15" i="3"/>
  <c r="P15" i="3" s="1"/>
  <c r="J16" i="3"/>
  <c r="P16" i="3" s="1"/>
  <c r="R16" i="3" s="1"/>
  <c r="I17" i="4" s="1"/>
  <c r="J17" i="3"/>
  <c r="P17" i="3" s="1"/>
  <c r="J18" i="3"/>
  <c r="P18" i="3" s="1"/>
  <c r="J19" i="3"/>
  <c r="P19" i="3" s="1"/>
  <c r="J20" i="3"/>
  <c r="P20" i="3" s="1"/>
  <c r="R20" i="3" s="1"/>
  <c r="I21" i="4" s="1"/>
  <c r="J21" i="3"/>
  <c r="P21" i="3" s="1"/>
  <c r="R21" i="3" s="1"/>
  <c r="I22" i="4" s="1"/>
  <c r="J22" i="3"/>
  <c r="P22" i="3" s="1"/>
  <c r="J23" i="3"/>
  <c r="P23" i="3" s="1"/>
  <c r="J24" i="3"/>
  <c r="P24" i="3" s="1"/>
  <c r="R24" i="3" s="1"/>
  <c r="I25" i="4" s="1"/>
  <c r="J25" i="3"/>
  <c r="P25" i="3" s="1"/>
  <c r="R25" i="3" s="1"/>
  <c r="I26" i="4" s="1"/>
  <c r="J26" i="3"/>
  <c r="P26" i="3" s="1"/>
  <c r="J27" i="3"/>
  <c r="P27" i="3" s="1"/>
  <c r="J28" i="3"/>
  <c r="P28" i="3" s="1"/>
  <c r="R28" i="3" s="1"/>
  <c r="I29" i="4" s="1"/>
  <c r="J29" i="3"/>
  <c r="P29" i="3" s="1"/>
  <c r="J30" i="3"/>
  <c r="P30" i="3" s="1"/>
  <c r="J31" i="3"/>
  <c r="P31" i="3" s="1"/>
  <c r="J32" i="3"/>
  <c r="P32" i="3" s="1"/>
  <c r="R32" i="3" s="1"/>
  <c r="I33" i="4" s="1"/>
  <c r="J33" i="3"/>
  <c r="P33" i="3" s="1"/>
  <c r="J34" i="3"/>
  <c r="P34" i="3" s="1"/>
  <c r="J35" i="3"/>
  <c r="P35" i="3" s="1"/>
  <c r="J36" i="3"/>
  <c r="P36" i="3" s="1"/>
  <c r="R36" i="3" s="1"/>
  <c r="I37" i="4" s="1"/>
  <c r="J37" i="3"/>
  <c r="P37" i="3" s="1"/>
  <c r="R37" i="3" s="1"/>
  <c r="I38" i="4" s="1"/>
  <c r="J38" i="3"/>
  <c r="P38" i="3" s="1"/>
  <c r="R38" i="3" s="1"/>
  <c r="I39" i="4" s="1"/>
  <c r="J39" i="3"/>
  <c r="P39" i="3" s="1"/>
  <c r="J40" i="3"/>
  <c r="P40" i="3" s="1"/>
  <c r="R40" i="3" s="1"/>
  <c r="I41" i="4" s="1"/>
  <c r="J41" i="3"/>
  <c r="P41" i="3" s="1"/>
  <c r="J42" i="3"/>
  <c r="P42" i="3" s="1"/>
  <c r="R42" i="3" s="1"/>
  <c r="I43" i="4" s="1"/>
  <c r="J43" i="3"/>
  <c r="P43" i="3" s="1"/>
  <c r="J44" i="3"/>
  <c r="P44" i="3" s="1"/>
  <c r="R44" i="3" s="1"/>
  <c r="I45" i="4" s="1"/>
  <c r="J45" i="3"/>
  <c r="P45" i="3" s="1"/>
  <c r="R45" i="3" s="1"/>
  <c r="I46" i="4" s="1"/>
  <c r="J46" i="3"/>
  <c r="P46" i="3" s="1"/>
  <c r="J47" i="3"/>
  <c r="P47" i="3" s="1"/>
  <c r="J48" i="3"/>
  <c r="P48" i="3" s="1"/>
  <c r="R48" i="3" s="1"/>
  <c r="I49" i="4" s="1"/>
  <c r="J49" i="3"/>
  <c r="P49" i="3" s="1"/>
  <c r="J50" i="3"/>
  <c r="P50" i="3" s="1"/>
  <c r="J51" i="3"/>
  <c r="P51" i="3" s="1"/>
  <c r="J52" i="3"/>
  <c r="P52" i="3" s="1"/>
  <c r="R52" i="3" s="1"/>
  <c r="I53" i="4" s="1"/>
  <c r="J53" i="3"/>
  <c r="P53" i="3" s="1"/>
  <c r="R53" i="3" s="1"/>
  <c r="I54" i="4" s="1"/>
  <c r="J54" i="3"/>
  <c r="P54" i="3" s="1"/>
  <c r="R54" i="3" s="1"/>
  <c r="I55" i="4" s="1"/>
  <c r="J55" i="3"/>
  <c r="P55" i="3" s="1"/>
  <c r="J56" i="3"/>
  <c r="P56" i="3" s="1"/>
  <c r="R56" i="3" s="1"/>
  <c r="I57" i="4" s="1"/>
  <c r="J57" i="3"/>
  <c r="P57" i="3" s="1"/>
  <c r="R57" i="3" s="1"/>
  <c r="I58" i="4" s="1"/>
  <c r="J58" i="3"/>
  <c r="P58" i="3" s="1"/>
  <c r="J59" i="3"/>
  <c r="P59" i="3" s="1"/>
  <c r="J60" i="3"/>
  <c r="P60" i="3" s="1"/>
  <c r="R60" i="3" s="1"/>
  <c r="I61" i="4" s="1"/>
  <c r="J61" i="3"/>
  <c r="P61" i="3" s="1"/>
  <c r="J62" i="3"/>
  <c r="P62" i="3" s="1"/>
  <c r="J63" i="3"/>
  <c r="P63" i="3" s="1"/>
  <c r="J64" i="3"/>
  <c r="P64" i="3" s="1"/>
  <c r="R64" i="3" s="1"/>
  <c r="I65" i="4" s="1"/>
  <c r="J65" i="3"/>
  <c r="P65" i="3" s="1"/>
  <c r="R65" i="3" s="1"/>
  <c r="I66" i="4" s="1"/>
  <c r="J66" i="3"/>
  <c r="P66" i="3" s="1"/>
  <c r="J67" i="3"/>
  <c r="P67" i="3" s="1"/>
  <c r="J68" i="3"/>
  <c r="P68" i="3" s="1"/>
  <c r="R68" i="3" s="1"/>
  <c r="I69" i="4" s="1"/>
  <c r="J69" i="3"/>
  <c r="P69" i="3" s="1"/>
  <c r="R69" i="3" s="1"/>
  <c r="I70" i="4" s="1"/>
  <c r="J70" i="3"/>
  <c r="P70" i="3" s="1"/>
  <c r="J71" i="3"/>
  <c r="P71" i="3" s="1"/>
  <c r="J72" i="3"/>
  <c r="P72" i="3" s="1"/>
  <c r="R72" i="3" s="1"/>
  <c r="I73" i="4" s="1"/>
  <c r="J73" i="3"/>
  <c r="P73" i="3" s="1"/>
  <c r="R73" i="3" s="1"/>
  <c r="I74" i="4" s="1"/>
  <c r="J74" i="3"/>
  <c r="P74" i="3" s="1"/>
  <c r="J75" i="3"/>
  <c r="P75" i="3" s="1"/>
  <c r="J76" i="3"/>
  <c r="P76" i="3" s="1"/>
  <c r="R76" i="3" s="1"/>
  <c r="I77" i="4" s="1"/>
  <c r="J77" i="3"/>
  <c r="P77" i="3" s="1"/>
  <c r="R77" i="3" s="1"/>
  <c r="I78" i="4" s="1"/>
  <c r="J78" i="3"/>
  <c r="P78" i="3" s="1"/>
  <c r="J79" i="3"/>
  <c r="P79" i="3" s="1"/>
  <c r="J80" i="3"/>
  <c r="P80" i="3" s="1"/>
  <c r="R80" i="3" s="1"/>
  <c r="I81" i="4" s="1"/>
  <c r="J81" i="3"/>
  <c r="P81" i="3" s="1"/>
  <c r="J82" i="3"/>
  <c r="P82" i="3" s="1"/>
  <c r="J83" i="3"/>
  <c r="P83" i="3" s="1"/>
  <c r="J84" i="3"/>
  <c r="P84" i="3" s="1"/>
  <c r="R84" i="3" s="1"/>
  <c r="I85" i="4" s="1"/>
  <c r="J85" i="3"/>
  <c r="P85" i="3" s="1"/>
  <c r="R85" i="3" s="1"/>
  <c r="I86" i="4" s="1"/>
  <c r="J86" i="3"/>
  <c r="P86" i="3" s="1"/>
  <c r="J87" i="3"/>
  <c r="P87" i="3" s="1"/>
  <c r="J88" i="3"/>
  <c r="P88" i="3" s="1"/>
  <c r="R88" i="3" s="1"/>
  <c r="I89" i="4" s="1"/>
  <c r="J89" i="3"/>
  <c r="P89" i="3" s="1"/>
  <c r="R89" i="3" s="1"/>
  <c r="I90" i="4" s="1"/>
  <c r="J90" i="3"/>
  <c r="P90" i="3" s="1"/>
  <c r="J91" i="3"/>
  <c r="P91" i="3" s="1"/>
  <c r="J92" i="3"/>
  <c r="P92" i="3" s="1"/>
  <c r="R92" i="3" s="1"/>
  <c r="I93" i="4" s="1"/>
  <c r="J93" i="3"/>
  <c r="P93" i="3" s="1"/>
  <c r="R93" i="3" s="1"/>
  <c r="I94" i="4" s="1"/>
  <c r="J94" i="3"/>
  <c r="P94" i="3" s="1"/>
  <c r="J95" i="3"/>
  <c r="P95" i="3" s="1"/>
  <c r="J96" i="3"/>
  <c r="P96" i="3" s="1"/>
  <c r="R96" i="3" s="1"/>
  <c r="I97" i="4" s="1"/>
  <c r="J97" i="3"/>
  <c r="P97" i="3" s="1"/>
  <c r="R97" i="3" s="1"/>
  <c r="I98" i="4" s="1"/>
  <c r="J98" i="3"/>
  <c r="P98" i="3" s="1"/>
  <c r="J99" i="3"/>
  <c r="P99" i="3" s="1"/>
  <c r="J100" i="3"/>
  <c r="P100" i="3" s="1"/>
  <c r="R100" i="3" s="1"/>
  <c r="I101" i="4" s="1"/>
  <c r="J101" i="3"/>
  <c r="P101" i="3" s="1"/>
  <c r="R101" i="3" s="1"/>
  <c r="I102" i="4" s="1"/>
  <c r="J102" i="3"/>
  <c r="P102" i="3" s="1"/>
  <c r="J103" i="3"/>
  <c r="P103" i="3" s="1"/>
  <c r="J104" i="3"/>
  <c r="P104" i="3" s="1"/>
  <c r="R104" i="3" s="1"/>
  <c r="I105" i="4" s="1"/>
  <c r="J105" i="3"/>
  <c r="P105" i="3" s="1"/>
  <c r="J106" i="3"/>
  <c r="P106" i="3" s="1"/>
  <c r="J107" i="3"/>
  <c r="P107" i="3" s="1"/>
  <c r="J108" i="3"/>
  <c r="P108" i="3" s="1"/>
  <c r="R108" i="3" s="1"/>
  <c r="I109" i="4" s="1"/>
  <c r="J109" i="3"/>
  <c r="P109" i="3" s="1"/>
  <c r="R109" i="3" s="1"/>
  <c r="I110" i="4" s="1"/>
  <c r="J110" i="3"/>
  <c r="P110" i="3" s="1"/>
  <c r="R110" i="3" s="1"/>
  <c r="I111" i="4" s="1"/>
  <c r="J111" i="3"/>
  <c r="P111" i="3" s="1"/>
  <c r="J112" i="3"/>
  <c r="P112" i="3" s="1"/>
  <c r="R112" i="3" s="1"/>
  <c r="I113" i="4" s="1"/>
  <c r="J113" i="3"/>
  <c r="P113" i="3" s="1"/>
  <c r="R113" i="3" s="1"/>
  <c r="I114" i="4" s="1"/>
  <c r="J114" i="3"/>
  <c r="P114" i="3" s="1"/>
  <c r="J115" i="3"/>
  <c r="P115" i="3" s="1"/>
  <c r="R115" i="3" s="1"/>
  <c r="I116" i="4" s="1"/>
  <c r="J116" i="3"/>
  <c r="P116" i="3" s="1"/>
  <c r="R116" i="3" s="1"/>
  <c r="I117" i="4" s="1"/>
  <c r="J117" i="3"/>
  <c r="P117" i="3" s="1"/>
  <c r="R117" i="3" s="1"/>
  <c r="I118" i="4" s="1"/>
  <c r="J118" i="3"/>
  <c r="P118" i="3" s="1"/>
  <c r="R118" i="3" s="1"/>
  <c r="I119" i="4" s="1"/>
  <c r="J119" i="3"/>
  <c r="P119" i="3" s="1"/>
  <c r="J120" i="3"/>
  <c r="P120" i="3" s="1"/>
  <c r="R120" i="3" s="1"/>
  <c r="I121" i="4" s="1"/>
  <c r="J121" i="3"/>
  <c r="P121" i="3" s="1"/>
  <c r="J122" i="3"/>
  <c r="P122" i="3" s="1"/>
  <c r="J123" i="3"/>
  <c r="P123" i="3" s="1"/>
  <c r="J124" i="3"/>
  <c r="P124" i="3" s="1"/>
  <c r="R124" i="3" s="1"/>
  <c r="I125" i="4" s="1"/>
  <c r="J125" i="3"/>
  <c r="P125" i="3" s="1"/>
  <c r="R125" i="3" s="1"/>
  <c r="I126" i="4" s="1"/>
  <c r="J126" i="3"/>
  <c r="P126" i="3" s="1"/>
  <c r="J127" i="3"/>
  <c r="P127" i="3" s="1"/>
  <c r="J128" i="3"/>
  <c r="P128" i="3" s="1"/>
  <c r="R128" i="3" s="1"/>
  <c r="I129" i="4" s="1"/>
  <c r="J129" i="3"/>
  <c r="P129" i="3" s="1"/>
  <c r="R129" i="3" s="1"/>
  <c r="I130" i="4" s="1"/>
  <c r="J130" i="3"/>
  <c r="P130" i="3" s="1"/>
  <c r="J131" i="3"/>
  <c r="P131" i="3" s="1"/>
  <c r="J132" i="3"/>
  <c r="P132" i="3" s="1"/>
  <c r="R132" i="3" s="1"/>
  <c r="I133" i="4" s="1"/>
  <c r="J133" i="3"/>
  <c r="P133" i="3" s="1"/>
  <c r="R133" i="3" s="1"/>
  <c r="I134" i="4" s="1"/>
  <c r="J134" i="3"/>
  <c r="P134" i="3" s="1"/>
  <c r="J135" i="3"/>
  <c r="P135" i="3" s="1"/>
  <c r="J136" i="3"/>
  <c r="P136" i="3" s="1"/>
  <c r="R136" i="3" s="1"/>
  <c r="I137" i="4" s="1"/>
  <c r="J137" i="3"/>
  <c r="P137" i="3" s="1"/>
  <c r="J138" i="3"/>
  <c r="P138" i="3" s="1"/>
  <c r="J139" i="3"/>
  <c r="P139" i="3" s="1"/>
  <c r="R139" i="3" s="1"/>
  <c r="I140" i="4" s="1"/>
  <c r="J140" i="3"/>
  <c r="P140" i="3" s="1"/>
  <c r="R140" i="3" s="1"/>
  <c r="I141" i="4" s="1"/>
  <c r="J141" i="3"/>
  <c r="P141" i="3" s="1"/>
  <c r="R141" i="3" s="1"/>
  <c r="I142" i="4" s="1"/>
  <c r="J142" i="3"/>
  <c r="P142" i="3" s="1"/>
  <c r="J143" i="3"/>
  <c r="P143" i="3" s="1"/>
  <c r="J144" i="3"/>
  <c r="P144" i="3" s="1"/>
  <c r="R144" i="3" s="1"/>
  <c r="I145" i="4" s="1"/>
  <c r="J145" i="3"/>
  <c r="P145" i="3" s="1"/>
  <c r="R145" i="3" s="1"/>
  <c r="I146" i="4" s="1"/>
  <c r="J146" i="3"/>
  <c r="P146" i="3" s="1"/>
  <c r="J147" i="3"/>
  <c r="P147" i="3" s="1"/>
  <c r="J148" i="3"/>
  <c r="P148" i="3" s="1"/>
  <c r="R148" i="3" s="1"/>
  <c r="I149" i="4" s="1"/>
  <c r="J149" i="3"/>
  <c r="P149" i="3" s="1"/>
  <c r="R149" i="3" s="1"/>
  <c r="I150" i="4" s="1"/>
  <c r="J150" i="3"/>
  <c r="P150" i="3" s="1"/>
  <c r="J151" i="3"/>
  <c r="P151" i="3" s="1"/>
  <c r="J152" i="3"/>
  <c r="P152" i="3" s="1"/>
  <c r="R152" i="3" s="1"/>
  <c r="I153" i="4" s="1"/>
  <c r="J153" i="3"/>
  <c r="P153" i="3" s="1"/>
  <c r="J154" i="3"/>
  <c r="P154" i="3" s="1"/>
  <c r="J155" i="3"/>
  <c r="P155" i="3" s="1"/>
  <c r="J156" i="3"/>
  <c r="P156" i="3" s="1"/>
  <c r="R156" i="3" s="1"/>
  <c r="I157" i="4" s="1"/>
  <c r="J157" i="3"/>
  <c r="P157" i="3" s="1"/>
  <c r="R157" i="3" s="1"/>
  <c r="I158" i="4" s="1"/>
  <c r="J158" i="3"/>
  <c r="P158" i="3" s="1"/>
  <c r="J159" i="3"/>
  <c r="P159" i="3" s="1"/>
  <c r="J160" i="3"/>
  <c r="P160" i="3" s="1"/>
  <c r="R160" i="3" s="1"/>
  <c r="I161" i="4" s="1"/>
  <c r="J161" i="3"/>
  <c r="P161" i="3" s="1"/>
  <c r="R161" i="3" s="1"/>
  <c r="I162" i="4" s="1"/>
  <c r="J162" i="3"/>
  <c r="P162" i="3" s="1"/>
  <c r="J163" i="3"/>
  <c r="P163" i="3" s="1"/>
  <c r="J164" i="3"/>
  <c r="P164" i="3" s="1"/>
  <c r="R164" i="3" s="1"/>
  <c r="I165" i="4" s="1"/>
  <c r="J165" i="3"/>
  <c r="P165" i="3" s="1"/>
  <c r="R165" i="3" s="1"/>
  <c r="I166" i="4" s="1"/>
  <c r="J166" i="3"/>
  <c r="P166" i="3" s="1"/>
  <c r="J167" i="3"/>
  <c r="P167" i="3" s="1"/>
  <c r="J168" i="3"/>
  <c r="P168" i="3" s="1"/>
  <c r="R168" i="3" s="1"/>
  <c r="I169" i="4" s="1"/>
  <c r="J169" i="3"/>
  <c r="P169" i="3" s="1"/>
  <c r="J170" i="3"/>
  <c r="P170" i="3" s="1"/>
  <c r="R170" i="3" s="1"/>
  <c r="I171" i="4" s="1"/>
  <c r="J171" i="3"/>
  <c r="P171" i="3" s="1"/>
  <c r="J172" i="3"/>
  <c r="P172" i="3" s="1"/>
  <c r="R172" i="3" s="1"/>
  <c r="I173" i="4" s="1"/>
  <c r="J173" i="3"/>
  <c r="P173" i="3" s="1"/>
  <c r="R173" i="3" s="1"/>
  <c r="I174" i="4" s="1"/>
  <c r="J174" i="3"/>
  <c r="P174" i="3" s="1"/>
  <c r="R174" i="3" s="1"/>
  <c r="I175" i="4" s="1"/>
  <c r="J175" i="3"/>
  <c r="P175" i="3" s="1"/>
  <c r="J176" i="3"/>
  <c r="P176" i="3" s="1"/>
  <c r="R176" i="3" s="1"/>
  <c r="I177" i="4" s="1"/>
  <c r="J177" i="3"/>
  <c r="P177" i="3" s="1"/>
  <c r="R177" i="3" s="1"/>
  <c r="I178" i="4" s="1"/>
  <c r="J178" i="3"/>
  <c r="P178" i="3" s="1"/>
  <c r="J179" i="3"/>
  <c r="P179" i="3" s="1"/>
  <c r="J180" i="3"/>
  <c r="P180" i="3" s="1"/>
  <c r="R180" i="3" s="1"/>
  <c r="I181" i="4" s="1"/>
  <c r="J181" i="3"/>
  <c r="P181" i="3" s="1"/>
  <c r="R181" i="3" s="1"/>
  <c r="I182" i="4" s="1"/>
  <c r="J182" i="3"/>
  <c r="P182" i="3" s="1"/>
  <c r="R182" i="3" s="1"/>
  <c r="I183" i="4" s="1"/>
  <c r="J5" i="3"/>
  <c r="P5" i="3" s="1"/>
  <c r="R5" i="3" s="1"/>
  <c r="I5" i="4" s="1"/>
  <c r="H6" i="3"/>
  <c r="N6" i="3" s="1"/>
  <c r="E6" i="4" s="1"/>
  <c r="I6" i="3"/>
  <c r="O6" i="3" s="1"/>
  <c r="F6" i="4" s="1"/>
  <c r="F7" i="4"/>
  <c r="H7" i="3"/>
  <c r="N7" i="3" s="1"/>
  <c r="E8" i="4" s="1"/>
  <c r="I7" i="3"/>
  <c r="O7" i="3" s="1"/>
  <c r="F8" i="4" s="1"/>
  <c r="H8" i="3"/>
  <c r="N8" i="3" s="1"/>
  <c r="E9" i="4" s="1"/>
  <c r="I8" i="3"/>
  <c r="O8" i="3" s="1"/>
  <c r="F9" i="4" s="1"/>
  <c r="H9" i="3"/>
  <c r="N9" i="3" s="1"/>
  <c r="E10" i="4" s="1"/>
  <c r="I9" i="3"/>
  <c r="O9" i="3" s="1"/>
  <c r="H10" i="3"/>
  <c r="N10" i="3" s="1"/>
  <c r="I10" i="3"/>
  <c r="O10" i="3" s="1"/>
  <c r="F11" i="4" s="1"/>
  <c r="H11" i="3"/>
  <c r="N11" i="3" s="1"/>
  <c r="E12" i="4" s="1"/>
  <c r="I11" i="3"/>
  <c r="O11" i="3" s="1"/>
  <c r="F12" i="4" s="1"/>
  <c r="H12" i="3"/>
  <c r="N12" i="3" s="1"/>
  <c r="E13" i="4" s="1"/>
  <c r="I12" i="3"/>
  <c r="O12" i="3" s="1"/>
  <c r="F13" i="4" s="1"/>
  <c r="H13" i="3"/>
  <c r="N13" i="3" s="1"/>
  <c r="E14" i="4" s="1"/>
  <c r="I13" i="3"/>
  <c r="O13" i="3" s="1"/>
  <c r="F14" i="4" s="1"/>
  <c r="H14" i="3"/>
  <c r="N14" i="3" s="1"/>
  <c r="I14" i="3"/>
  <c r="O14" i="3" s="1"/>
  <c r="F15" i="4" s="1"/>
  <c r="H15" i="3"/>
  <c r="N15" i="3" s="1"/>
  <c r="E16" i="4" s="1"/>
  <c r="I15" i="3"/>
  <c r="O15" i="3" s="1"/>
  <c r="F16" i="4" s="1"/>
  <c r="H16" i="3"/>
  <c r="N16" i="3" s="1"/>
  <c r="E17" i="4" s="1"/>
  <c r="I16" i="3"/>
  <c r="O16" i="3" s="1"/>
  <c r="F17" i="4" s="1"/>
  <c r="H17" i="3"/>
  <c r="N17" i="3" s="1"/>
  <c r="E18" i="4" s="1"/>
  <c r="I17" i="3"/>
  <c r="O17" i="3" s="1"/>
  <c r="F18" i="4" s="1"/>
  <c r="H18" i="3"/>
  <c r="N18" i="3" s="1"/>
  <c r="I18" i="3"/>
  <c r="O18" i="3" s="1"/>
  <c r="F19" i="4" s="1"/>
  <c r="H19" i="3"/>
  <c r="N19" i="3" s="1"/>
  <c r="E20" i="4" s="1"/>
  <c r="I19" i="3"/>
  <c r="O19" i="3" s="1"/>
  <c r="F20" i="4" s="1"/>
  <c r="H20" i="3"/>
  <c r="N20" i="3" s="1"/>
  <c r="E21" i="4" s="1"/>
  <c r="I20" i="3"/>
  <c r="O20" i="3" s="1"/>
  <c r="F21" i="4" s="1"/>
  <c r="H21" i="3"/>
  <c r="N21" i="3" s="1"/>
  <c r="E22" i="4" s="1"/>
  <c r="I21" i="3"/>
  <c r="O21" i="3" s="1"/>
  <c r="H22" i="3"/>
  <c r="N22" i="3" s="1"/>
  <c r="I22" i="3"/>
  <c r="O22" i="3" s="1"/>
  <c r="F23" i="4" s="1"/>
  <c r="H23" i="3"/>
  <c r="N23" i="3" s="1"/>
  <c r="E24" i="4" s="1"/>
  <c r="I23" i="3"/>
  <c r="O23" i="3" s="1"/>
  <c r="F24" i="4" s="1"/>
  <c r="H24" i="3"/>
  <c r="N24" i="3" s="1"/>
  <c r="I24" i="3"/>
  <c r="O24" i="3" s="1"/>
  <c r="F25" i="4" s="1"/>
  <c r="H25" i="3"/>
  <c r="N25" i="3" s="1"/>
  <c r="E26" i="4" s="1"/>
  <c r="I25" i="3"/>
  <c r="O25" i="3" s="1"/>
  <c r="F26" i="4" s="1"/>
  <c r="H26" i="3"/>
  <c r="N26" i="3" s="1"/>
  <c r="I26" i="3"/>
  <c r="O26" i="3" s="1"/>
  <c r="F27" i="4" s="1"/>
  <c r="H27" i="3"/>
  <c r="N27" i="3" s="1"/>
  <c r="E28" i="4" s="1"/>
  <c r="I27" i="3"/>
  <c r="O27" i="3" s="1"/>
  <c r="F28" i="4" s="1"/>
  <c r="H28" i="3"/>
  <c r="N28" i="3" s="1"/>
  <c r="I28" i="3"/>
  <c r="O28" i="3" s="1"/>
  <c r="F29" i="4" s="1"/>
  <c r="H29" i="3"/>
  <c r="N29" i="3" s="1"/>
  <c r="E30" i="4" s="1"/>
  <c r="I29" i="3"/>
  <c r="O29" i="3" s="1"/>
  <c r="F30" i="4" s="1"/>
  <c r="H30" i="3"/>
  <c r="N30" i="3" s="1"/>
  <c r="I30" i="3"/>
  <c r="O30" i="3" s="1"/>
  <c r="F31" i="4" s="1"/>
  <c r="H31" i="3"/>
  <c r="N31" i="3" s="1"/>
  <c r="E32" i="4" s="1"/>
  <c r="I31" i="3"/>
  <c r="O31" i="3" s="1"/>
  <c r="F32" i="4" s="1"/>
  <c r="H32" i="3"/>
  <c r="N32" i="3" s="1"/>
  <c r="I32" i="3"/>
  <c r="O32" i="3" s="1"/>
  <c r="F33" i="4" s="1"/>
  <c r="H33" i="3"/>
  <c r="N33" i="3" s="1"/>
  <c r="E34" i="4" s="1"/>
  <c r="I33" i="3"/>
  <c r="O33" i="3" s="1"/>
  <c r="F34" i="4" s="1"/>
  <c r="H34" i="3"/>
  <c r="N34" i="3" s="1"/>
  <c r="I34" i="3"/>
  <c r="O34" i="3" s="1"/>
  <c r="F35" i="4" s="1"/>
  <c r="H35" i="3"/>
  <c r="N35" i="3" s="1"/>
  <c r="E36" i="4" s="1"/>
  <c r="I35" i="3"/>
  <c r="O35" i="3" s="1"/>
  <c r="F36" i="4" s="1"/>
  <c r="H36" i="3"/>
  <c r="N36" i="3" s="1"/>
  <c r="I36" i="3"/>
  <c r="O36" i="3" s="1"/>
  <c r="F37" i="4" s="1"/>
  <c r="H37" i="3"/>
  <c r="N37" i="3" s="1"/>
  <c r="E38" i="4" s="1"/>
  <c r="I37" i="3"/>
  <c r="O37" i="3" s="1"/>
  <c r="F38" i="4" s="1"/>
  <c r="H38" i="3"/>
  <c r="N38" i="3" s="1"/>
  <c r="I38" i="3"/>
  <c r="O38" i="3" s="1"/>
  <c r="F39" i="4" s="1"/>
  <c r="H39" i="3"/>
  <c r="N39" i="3" s="1"/>
  <c r="E40" i="4" s="1"/>
  <c r="I39" i="3"/>
  <c r="O39" i="3" s="1"/>
  <c r="F40" i="4" s="1"/>
  <c r="H40" i="3"/>
  <c r="N40" i="3" s="1"/>
  <c r="E41" i="4" s="1"/>
  <c r="I40" i="3"/>
  <c r="O40" i="3" s="1"/>
  <c r="F41" i="4" s="1"/>
  <c r="H41" i="3"/>
  <c r="N41" i="3" s="1"/>
  <c r="E42" i="4" s="1"/>
  <c r="I41" i="3"/>
  <c r="O41" i="3" s="1"/>
  <c r="H42" i="3"/>
  <c r="N42" i="3" s="1"/>
  <c r="I42" i="3"/>
  <c r="O42" i="3" s="1"/>
  <c r="F43" i="4" s="1"/>
  <c r="H43" i="3"/>
  <c r="N43" i="3" s="1"/>
  <c r="E44" i="4" s="1"/>
  <c r="I43" i="3"/>
  <c r="O43" i="3" s="1"/>
  <c r="F44" i="4" s="1"/>
  <c r="H44" i="3"/>
  <c r="N44" i="3" s="1"/>
  <c r="E45" i="4" s="1"/>
  <c r="I44" i="3"/>
  <c r="O44" i="3" s="1"/>
  <c r="F45" i="4" s="1"/>
  <c r="H45" i="3"/>
  <c r="N45" i="3" s="1"/>
  <c r="E46" i="4" s="1"/>
  <c r="I45" i="3"/>
  <c r="O45" i="3" s="1"/>
  <c r="F46" i="4" s="1"/>
  <c r="H46" i="3"/>
  <c r="N46" i="3" s="1"/>
  <c r="I46" i="3"/>
  <c r="O46" i="3" s="1"/>
  <c r="F47" i="4" s="1"/>
  <c r="H47" i="3"/>
  <c r="N47" i="3" s="1"/>
  <c r="E48" i="4" s="1"/>
  <c r="I47" i="3"/>
  <c r="O47" i="3" s="1"/>
  <c r="F48" i="4" s="1"/>
  <c r="H48" i="3"/>
  <c r="N48" i="3" s="1"/>
  <c r="I48" i="3"/>
  <c r="O48" i="3" s="1"/>
  <c r="F49" i="4" s="1"/>
  <c r="H49" i="3"/>
  <c r="N49" i="3" s="1"/>
  <c r="E50" i="4" s="1"/>
  <c r="I49" i="3"/>
  <c r="O49" i="3" s="1"/>
  <c r="F50" i="4" s="1"/>
  <c r="H50" i="3"/>
  <c r="N50" i="3" s="1"/>
  <c r="I50" i="3"/>
  <c r="O50" i="3" s="1"/>
  <c r="F51" i="4" s="1"/>
  <c r="H51" i="3"/>
  <c r="N51" i="3" s="1"/>
  <c r="E52" i="4" s="1"/>
  <c r="I51" i="3"/>
  <c r="O51" i="3" s="1"/>
  <c r="F52" i="4" s="1"/>
  <c r="H52" i="3"/>
  <c r="N52" i="3" s="1"/>
  <c r="I52" i="3"/>
  <c r="O52" i="3" s="1"/>
  <c r="F53" i="4" s="1"/>
  <c r="H53" i="3"/>
  <c r="N53" i="3" s="1"/>
  <c r="E54" i="4" s="1"/>
  <c r="I53" i="3"/>
  <c r="O53" i="3" s="1"/>
  <c r="H54" i="3"/>
  <c r="N54" i="3" s="1"/>
  <c r="I54" i="3"/>
  <c r="O54" i="3" s="1"/>
  <c r="F55" i="4" s="1"/>
  <c r="H55" i="3"/>
  <c r="N55" i="3" s="1"/>
  <c r="E56" i="4" s="1"/>
  <c r="I55" i="3"/>
  <c r="O55" i="3" s="1"/>
  <c r="F56" i="4" s="1"/>
  <c r="H56" i="3"/>
  <c r="N56" i="3" s="1"/>
  <c r="I56" i="3"/>
  <c r="O56" i="3" s="1"/>
  <c r="F57" i="4" s="1"/>
  <c r="H57" i="3"/>
  <c r="N57" i="3" s="1"/>
  <c r="E58" i="4" s="1"/>
  <c r="I57" i="3"/>
  <c r="O57" i="3" s="1"/>
  <c r="F58" i="4" s="1"/>
  <c r="H58" i="3"/>
  <c r="N58" i="3" s="1"/>
  <c r="I58" i="3"/>
  <c r="O58" i="3" s="1"/>
  <c r="F59" i="4" s="1"/>
  <c r="H59" i="3"/>
  <c r="N59" i="3" s="1"/>
  <c r="E60" i="4" s="1"/>
  <c r="I59" i="3"/>
  <c r="O59" i="3" s="1"/>
  <c r="F60" i="4" s="1"/>
  <c r="H60" i="3"/>
  <c r="N60" i="3" s="1"/>
  <c r="E61" i="4" s="1"/>
  <c r="I60" i="3"/>
  <c r="O60" i="3" s="1"/>
  <c r="F61" i="4" s="1"/>
  <c r="H61" i="3"/>
  <c r="N61" i="3" s="1"/>
  <c r="E62" i="4" s="1"/>
  <c r="I61" i="3"/>
  <c r="O61" i="3" s="1"/>
  <c r="F62" i="4" s="1"/>
  <c r="H62" i="3"/>
  <c r="N62" i="3" s="1"/>
  <c r="I62" i="3"/>
  <c r="O62" i="3" s="1"/>
  <c r="F63" i="4" s="1"/>
  <c r="H63" i="3"/>
  <c r="N63" i="3" s="1"/>
  <c r="E64" i="4" s="1"/>
  <c r="I63" i="3"/>
  <c r="O63" i="3" s="1"/>
  <c r="F64" i="4" s="1"/>
  <c r="H64" i="3"/>
  <c r="N64" i="3" s="1"/>
  <c r="E65" i="4" s="1"/>
  <c r="I64" i="3"/>
  <c r="O64" i="3" s="1"/>
  <c r="F65" i="4" s="1"/>
  <c r="H65" i="3"/>
  <c r="N65" i="3" s="1"/>
  <c r="E66" i="4" s="1"/>
  <c r="I65" i="3"/>
  <c r="O65" i="3" s="1"/>
  <c r="H66" i="3"/>
  <c r="N66" i="3" s="1"/>
  <c r="I66" i="3"/>
  <c r="O66" i="3" s="1"/>
  <c r="F67" i="4" s="1"/>
  <c r="H67" i="3"/>
  <c r="N67" i="3" s="1"/>
  <c r="E68" i="4" s="1"/>
  <c r="I67" i="3"/>
  <c r="O67" i="3" s="1"/>
  <c r="F68" i="4" s="1"/>
  <c r="H68" i="3"/>
  <c r="N68" i="3" s="1"/>
  <c r="I68" i="3"/>
  <c r="O68" i="3" s="1"/>
  <c r="F69" i="4" s="1"/>
  <c r="H69" i="3"/>
  <c r="N69" i="3" s="1"/>
  <c r="E70" i="4" s="1"/>
  <c r="I69" i="3"/>
  <c r="O69" i="3" s="1"/>
  <c r="H70" i="3"/>
  <c r="N70" i="3" s="1"/>
  <c r="I70" i="3"/>
  <c r="O70" i="3" s="1"/>
  <c r="F71" i="4" s="1"/>
  <c r="H71" i="3"/>
  <c r="N71" i="3" s="1"/>
  <c r="E72" i="4" s="1"/>
  <c r="I71" i="3"/>
  <c r="O71" i="3" s="1"/>
  <c r="F72" i="4" s="1"/>
  <c r="H72" i="3"/>
  <c r="N72" i="3" s="1"/>
  <c r="I72" i="3"/>
  <c r="O72" i="3" s="1"/>
  <c r="F73" i="4" s="1"/>
  <c r="H73" i="3"/>
  <c r="N73" i="3" s="1"/>
  <c r="E74" i="4" s="1"/>
  <c r="I73" i="3"/>
  <c r="O73" i="3" s="1"/>
  <c r="H74" i="3"/>
  <c r="N74" i="3" s="1"/>
  <c r="I74" i="3"/>
  <c r="O74" i="3" s="1"/>
  <c r="F75" i="4" s="1"/>
  <c r="H75" i="3"/>
  <c r="N75" i="3" s="1"/>
  <c r="E76" i="4" s="1"/>
  <c r="I75" i="3"/>
  <c r="O75" i="3" s="1"/>
  <c r="F76" i="4" s="1"/>
  <c r="H76" i="3"/>
  <c r="N76" i="3" s="1"/>
  <c r="I76" i="3"/>
  <c r="O76" i="3" s="1"/>
  <c r="F77" i="4" s="1"/>
  <c r="H77" i="3"/>
  <c r="N77" i="3" s="1"/>
  <c r="E78" i="4" s="1"/>
  <c r="I77" i="3"/>
  <c r="O77" i="3" s="1"/>
  <c r="F78" i="4" s="1"/>
  <c r="H78" i="3"/>
  <c r="N78" i="3" s="1"/>
  <c r="I78" i="3"/>
  <c r="O78" i="3" s="1"/>
  <c r="F79" i="4" s="1"/>
  <c r="H79" i="3"/>
  <c r="N79" i="3" s="1"/>
  <c r="E80" i="4" s="1"/>
  <c r="I79" i="3"/>
  <c r="O79" i="3" s="1"/>
  <c r="F80" i="4" s="1"/>
  <c r="H80" i="3"/>
  <c r="N80" i="3" s="1"/>
  <c r="E81" i="4" s="1"/>
  <c r="I80" i="3"/>
  <c r="O80" i="3" s="1"/>
  <c r="F81" i="4" s="1"/>
  <c r="H81" i="3"/>
  <c r="N81" i="3" s="1"/>
  <c r="E82" i="4" s="1"/>
  <c r="I81" i="3"/>
  <c r="O81" i="3" s="1"/>
  <c r="F82" i="4" s="1"/>
  <c r="H82" i="3"/>
  <c r="N82" i="3" s="1"/>
  <c r="I82" i="3"/>
  <c r="O82" i="3" s="1"/>
  <c r="F83" i="4" s="1"/>
  <c r="H83" i="3"/>
  <c r="N83" i="3" s="1"/>
  <c r="E84" i="4" s="1"/>
  <c r="I83" i="3"/>
  <c r="O83" i="3" s="1"/>
  <c r="F84" i="4" s="1"/>
  <c r="H84" i="3"/>
  <c r="N84" i="3" s="1"/>
  <c r="E85" i="4" s="1"/>
  <c r="I84" i="3"/>
  <c r="O84" i="3" s="1"/>
  <c r="F85" i="4" s="1"/>
  <c r="H85" i="3"/>
  <c r="N85" i="3" s="1"/>
  <c r="E86" i="4" s="1"/>
  <c r="I85" i="3"/>
  <c r="O85" i="3" s="1"/>
  <c r="H86" i="3"/>
  <c r="N86" i="3" s="1"/>
  <c r="I86" i="3"/>
  <c r="O86" i="3" s="1"/>
  <c r="F87" i="4" s="1"/>
  <c r="H87" i="3"/>
  <c r="N87" i="3" s="1"/>
  <c r="E88" i="4" s="1"/>
  <c r="I87" i="3"/>
  <c r="O87" i="3" s="1"/>
  <c r="F88" i="4" s="1"/>
  <c r="H88" i="3"/>
  <c r="N88" i="3" s="1"/>
  <c r="I88" i="3"/>
  <c r="O88" i="3" s="1"/>
  <c r="F89" i="4" s="1"/>
  <c r="H89" i="3"/>
  <c r="N89" i="3" s="1"/>
  <c r="E90" i="4" s="1"/>
  <c r="I89" i="3"/>
  <c r="O89" i="3" s="1"/>
  <c r="F90" i="4" s="1"/>
  <c r="H90" i="3"/>
  <c r="N90" i="3" s="1"/>
  <c r="I90" i="3"/>
  <c r="O90" i="3" s="1"/>
  <c r="F91" i="4" s="1"/>
  <c r="H91" i="3"/>
  <c r="N91" i="3" s="1"/>
  <c r="E92" i="4" s="1"/>
  <c r="I91" i="3"/>
  <c r="O91" i="3" s="1"/>
  <c r="F92" i="4" s="1"/>
  <c r="H92" i="3"/>
  <c r="N92" i="3" s="1"/>
  <c r="E93" i="4" s="1"/>
  <c r="I92" i="3"/>
  <c r="O92" i="3" s="1"/>
  <c r="F93" i="4" s="1"/>
  <c r="H93" i="3"/>
  <c r="N93" i="3" s="1"/>
  <c r="E94" i="4" s="1"/>
  <c r="I93" i="3"/>
  <c r="O93" i="3" s="1"/>
  <c r="F94" i="4" s="1"/>
  <c r="H94" i="3"/>
  <c r="N94" i="3" s="1"/>
  <c r="I94" i="3"/>
  <c r="O94" i="3" s="1"/>
  <c r="F95" i="4" s="1"/>
  <c r="H95" i="3"/>
  <c r="N95" i="3" s="1"/>
  <c r="E96" i="4" s="1"/>
  <c r="I95" i="3"/>
  <c r="O95" i="3" s="1"/>
  <c r="F96" i="4" s="1"/>
  <c r="H96" i="3"/>
  <c r="N96" i="3" s="1"/>
  <c r="E97" i="4" s="1"/>
  <c r="I96" i="3"/>
  <c r="O96" i="3" s="1"/>
  <c r="F97" i="4" s="1"/>
  <c r="H97" i="3"/>
  <c r="N97" i="3" s="1"/>
  <c r="E98" i="4" s="1"/>
  <c r="I97" i="3"/>
  <c r="O97" i="3" s="1"/>
  <c r="F98" i="4" s="1"/>
  <c r="H98" i="3"/>
  <c r="N98" i="3" s="1"/>
  <c r="I98" i="3"/>
  <c r="O98" i="3" s="1"/>
  <c r="F99" i="4" s="1"/>
  <c r="H99" i="3"/>
  <c r="N99" i="3" s="1"/>
  <c r="E100" i="4" s="1"/>
  <c r="I99" i="3"/>
  <c r="O99" i="3" s="1"/>
  <c r="F100" i="4" s="1"/>
  <c r="H100" i="3"/>
  <c r="N100" i="3" s="1"/>
  <c r="E101" i="4" s="1"/>
  <c r="I100" i="3"/>
  <c r="O100" i="3" s="1"/>
  <c r="F101" i="4" s="1"/>
  <c r="H101" i="3"/>
  <c r="N101" i="3" s="1"/>
  <c r="E102" i="4" s="1"/>
  <c r="I101" i="3"/>
  <c r="O101" i="3" s="1"/>
  <c r="F102" i="4" s="1"/>
  <c r="H102" i="3"/>
  <c r="N102" i="3" s="1"/>
  <c r="I102" i="3"/>
  <c r="O102" i="3" s="1"/>
  <c r="F103" i="4" s="1"/>
  <c r="H103" i="3"/>
  <c r="N103" i="3" s="1"/>
  <c r="E104" i="4" s="1"/>
  <c r="I103" i="3"/>
  <c r="O103" i="3" s="1"/>
  <c r="F104" i="4" s="1"/>
  <c r="H104" i="3"/>
  <c r="N104" i="3" s="1"/>
  <c r="E105" i="4" s="1"/>
  <c r="I104" i="3"/>
  <c r="O104" i="3" s="1"/>
  <c r="F105" i="4" s="1"/>
  <c r="H105" i="3"/>
  <c r="N105" i="3" s="1"/>
  <c r="E106" i="4" s="1"/>
  <c r="I105" i="3"/>
  <c r="O105" i="3" s="1"/>
  <c r="F106" i="4" s="1"/>
  <c r="H106" i="3"/>
  <c r="N106" i="3" s="1"/>
  <c r="I106" i="3"/>
  <c r="O106" i="3" s="1"/>
  <c r="F107" i="4" s="1"/>
  <c r="H107" i="3"/>
  <c r="N107" i="3" s="1"/>
  <c r="E108" i="4" s="1"/>
  <c r="I107" i="3"/>
  <c r="O107" i="3" s="1"/>
  <c r="F108" i="4" s="1"/>
  <c r="H108" i="3"/>
  <c r="N108" i="3" s="1"/>
  <c r="I108" i="3"/>
  <c r="O108" i="3" s="1"/>
  <c r="F109" i="4" s="1"/>
  <c r="H109" i="3"/>
  <c r="N109" i="3" s="1"/>
  <c r="E110" i="4" s="1"/>
  <c r="I109" i="3"/>
  <c r="O109" i="3" s="1"/>
  <c r="F110" i="4" s="1"/>
  <c r="H110" i="3"/>
  <c r="N110" i="3" s="1"/>
  <c r="I110" i="3"/>
  <c r="O110" i="3" s="1"/>
  <c r="F111" i="4" s="1"/>
  <c r="H111" i="3"/>
  <c r="N111" i="3" s="1"/>
  <c r="E112" i="4" s="1"/>
  <c r="I111" i="3"/>
  <c r="O111" i="3" s="1"/>
  <c r="F112" i="4" s="1"/>
  <c r="H112" i="3"/>
  <c r="N112" i="3" s="1"/>
  <c r="E113" i="4" s="1"/>
  <c r="I112" i="3"/>
  <c r="O112" i="3" s="1"/>
  <c r="F113" i="4" s="1"/>
  <c r="H113" i="3"/>
  <c r="N113" i="3" s="1"/>
  <c r="E114" i="4" s="1"/>
  <c r="I113" i="3"/>
  <c r="O113" i="3" s="1"/>
  <c r="F114" i="4" s="1"/>
  <c r="H114" i="3"/>
  <c r="N114" i="3" s="1"/>
  <c r="I114" i="3"/>
  <c r="O114" i="3" s="1"/>
  <c r="F115" i="4" s="1"/>
  <c r="H115" i="3"/>
  <c r="N115" i="3" s="1"/>
  <c r="E116" i="4" s="1"/>
  <c r="I115" i="3"/>
  <c r="O115" i="3" s="1"/>
  <c r="F116" i="4" s="1"/>
  <c r="H116" i="3"/>
  <c r="N116" i="3" s="1"/>
  <c r="I116" i="3"/>
  <c r="O116" i="3" s="1"/>
  <c r="F117" i="4" s="1"/>
  <c r="H117" i="3"/>
  <c r="N117" i="3" s="1"/>
  <c r="E118" i="4" s="1"/>
  <c r="I117" i="3"/>
  <c r="O117" i="3" s="1"/>
  <c r="F118" i="4" s="1"/>
  <c r="H118" i="3"/>
  <c r="N118" i="3" s="1"/>
  <c r="I118" i="3"/>
  <c r="O118" i="3" s="1"/>
  <c r="F119" i="4" s="1"/>
  <c r="H119" i="3"/>
  <c r="N119" i="3" s="1"/>
  <c r="E120" i="4" s="1"/>
  <c r="I119" i="3"/>
  <c r="O119" i="3" s="1"/>
  <c r="F120" i="4" s="1"/>
  <c r="H120" i="3"/>
  <c r="N120" i="3" s="1"/>
  <c r="I120" i="3"/>
  <c r="O120" i="3" s="1"/>
  <c r="F121" i="4" s="1"/>
  <c r="H121" i="3"/>
  <c r="N121" i="3" s="1"/>
  <c r="E122" i="4" s="1"/>
  <c r="I121" i="3"/>
  <c r="O121" i="3" s="1"/>
  <c r="F122" i="4" s="1"/>
  <c r="H122" i="3"/>
  <c r="N122" i="3" s="1"/>
  <c r="I122" i="3"/>
  <c r="O122" i="3" s="1"/>
  <c r="F123" i="4" s="1"/>
  <c r="H123" i="3"/>
  <c r="N123" i="3" s="1"/>
  <c r="E124" i="4" s="1"/>
  <c r="I123" i="3"/>
  <c r="O123" i="3" s="1"/>
  <c r="F124" i="4" s="1"/>
  <c r="H124" i="3"/>
  <c r="N124" i="3" s="1"/>
  <c r="E125" i="4" s="1"/>
  <c r="I124" i="3"/>
  <c r="O124" i="3" s="1"/>
  <c r="F125" i="4" s="1"/>
  <c r="H125" i="3"/>
  <c r="N125" i="3" s="1"/>
  <c r="E126" i="4" s="1"/>
  <c r="I125" i="3"/>
  <c r="O125" i="3" s="1"/>
  <c r="F126" i="4" s="1"/>
  <c r="H126" i="3"/>
  <c r="N126" i="3" s="1"/>
  <c r="I126" i="3"/>
  <c r="O126" i="3" s="1"/>
  <c r="F127" i="4" s="1"/>
  <c r="H127" i="3"/>
  <c r="N127" i="3" s="1"/>
  <c r="E128" i="4" s="1"/>
  <c r="I127" i="3"/>
  <c r="O127" i="3" s="1"/>
  <c r="F128" i="4" s="1"/>
  <c r="H128" i="3"/>
  <c r="N128" i="3" s="1"/>
  <c r="I128" i="3"/>
  <c r="O128" i="3" s="1"/>
  <c r="F129" i="4" s="1"/>
  <c r="H129" i="3"/>
  <c r="N129" i="3" s="1"/>
  <c r="E130" i="4" s="1"/>
  <c r="I129" i="3"/>
  <c r="O129" i="3" s="1"/>
  <c r="F130" i="4" s="1"/>
  <c r="H130" i="3"/>
  <c r="N130" i="3" s="1"/>
  <c r="I130" i="3"/>
  <c r="O130" i="3" s="1"/>
  <c r="F131" i="4" s="1"/>
  <c r="H131" i="3"/>
  <c r="N131" i="3" s="1"/>
  <c r="E132" i="4" s="1"/>
  <c r="I131" i="3"/>
  <c r="O131" i="3" s="1"/>
  <c r="F132" i="4" s="1"/>
  <c r="H132" i="3"/>
  <c r="N132" i="3" s="1"/>
  <c r="E133" i="4" s="1"/>
  <c r="I132" i="3"/>
  <c r="O132" i="3" s="1"/>
  <c r="F133" i="4" s="1"/>
  <c r="H133" i="3"/>
  <c r="N133" i="3" s="1"/>
  <c r="E134" i="4" s="1"/>
  <c r="I133" i="3"/>
  <c r="O133" i="3" s="1"/>
  <c r="F134" i="4" s="1"/>
  <c r="H134" i="3"/>
  <c r="N134" i="3" s="1"/>
  <c r="I134" i="3"/>
  <c r="O134" i="3" s="1"/>
  <c r="F135" i="4" s="1"/>
  <c r="H135" i="3"/>
  <c r="N135" i="3" s="1"/>
  <c r="E136" i="4" s="1"/>
  <c r="I135" i="3"/>
  <c r="O135" i="3" s="1"/>
  <c r="F136" i="4" s="1"/>
  <c r="H136" i="3"/>
  <c r="N136" i="3" s="1"/>
  <c r="I136" i="3"/>
  <c r="O136" i="3" s="1"/>
  <c r="F137" i="4" s="1"/>
  <c r="H137" i="3"/>
  <c r="N137" i="3" s="1"/>
  <c r="E138" i="4" s="1"/>
  <c r="I137" i="3"/>
  <c r="O137" i="3" s="1"/>
  <c r="F138" i="4" s="1"/>
  <c r="H138" i="3"/>
  <c r="N138" i="3" s="1"/>
  <c r="I138" i="3"/>
  <c r="O138" i="3" s="1"/>
  <c r="F139" i="4" s="1"/>
  <c r="H139" i="3"/>
  <c r="N139" i="3" s="1"/>
  <c r="E140" i="4" s="1"/>
  <c r="I139" i="3"/>
  <c r="O139" i="3" s="1"/>
  <c r="F140" i="4" s="1"/>
  <c r="H140" i="3"/>
  <c r="N140" i="3" s="1"/>
  <c r="E141" i="4" s="1"/>
  <c r="I140" i="3"/>
  <c r="O140" i="3" s="1"/>
  <c r="F141" i="4" s="1"/>
  <c r="H141" i="3"/>
  <c r="N141" i="3" s="1"/>
  <c r="E142" i="4" s="1"/>
  <c r="I141" i="3"/>
  <c r="O141" i="3" s="1"/>
  <c r="F142" i="4" s="1"/>
  <c r="H142" i="3"/>
  <c r="N142" i="3" s="1"/>
  <c r="I142" i="3"/>
  <c r="O142" i="3" s="1"/>
  <c r="F143" i="4" s="1"/>
  <c r="H143" i="3"/>
  <c r="N143" i="3" s="1"/>
  <c r="E144" i="4" s="1"/>
  <c r="I143" i="3"/>
  <c r="O143" i="3" s="1"/>
  <c r="F144" i="4" s="1"/>
  <c r="H144" i="3"/>
  <c r="N144" i="3" s="1"/>
  <c r="E145" i="4" s="1"/>
  <c r="I144" i="3"/>
  <c r="O144" i="3" s="1"/>
  <c r="F145" i="4" s="1"/>
  <c r="H145" i="3"/>
  <c r="N145" i="3" s="1"/>
  <c r="E146" i="4" s="1"/>
  <c r="I145" i="3"/>
  <c r="O145" i="3" s="1"/>
  <c r="F146" i="4" s="1"/>
  <c r="H146" i="3"/>
  <c r="N146" i="3" s="1"/>
  <c r="I146" i="3"/>
  <c r="O146" i="3" s="1"/>
  <c r="F147" i="4" s="1"/>
  <c r="H147" i="3"/>
  <c r="N147" i="3" s="1"/>
  <c r="E148" i="4" s="1"/>
  <c r="I147" i="3"/>
  <c r="O147" i="3" s="1"/>
  <c r="F148" i="4" s="1"/>
  <c r="H148" i="3"/>
  <c r="N148" i="3" s="1"/>
  <c r="E149" i="4" s="1"/>
  <c r="I148" i="3"/>
  <c r="O148" i="3" s="1"/>
  <c r="F149" i="4" s="1"/>
  <c r="H149" i="3"/>
  <c r="N149" i="3" s="1"/>
  <c r="E150" i="4" s="1"/>
  <c r="I149" i="3"/>
  <c r="O149" i="3" s="1"/>
  <c r="F150" i="4" s="1"/>
  <c r="H150" i="3"/>
  <c r="N150" i="3" s="1"/>
  <c r="I150" i="3"/>
  <c r="O150" i="3" s="1"/>
  <c r="F151" i="4" s="1"/>
  <c r="H151" i="3"/>
  <c r="N151" i="3" s="1"/>
  <c r="E152" i="4" s="1"/>
  <c r="I151" i="3"/>
  <c r="O151" i="3" s="1"/>
  <c r="F152" i="4" s="1"/>
  <c r="H152" i="3"/>
  <c r="N152" i="3" s="1"/>
  <c r="I152" i="3"/>
  <c r="O152" i="3" s="1"/>
  <c r="F153" i="4" s="1"/>
  <c r="H153" i="3"/>
  <c r="N153" i="3" s="1"/>
  <c r="E154" i="4" s="1"/>
  <c r="I153" i="3"/>
  <c r="O153" i="3" s="1"/>
  <c r="F154" i="4" s="1"/>
  <c r="H154" i="3"/>
  <c r="N154" i="3" s="1"/>
  <c r="I154" i="3"/>
  <c r="O154" i="3" s="1"/>
  <c r="F155" i="4" s="1"/>
  <c r="H155" i="3"/>
  <c r="N155" i="3" s="1"/>
  <c r="E156" i="4" s="1"/>
  <c r="I155" i="3"/>
  <c r="O155" i="3" s="1"/>
  <c r="F156" i="4" s="1"/>
  <c r="H156" i="3"/>
  <c r="N156" i="3" s="1"/>
  <c r="I156" i="3"/>
  <c r="O156" i="3" s="1"/>
  <c r="F157" i="4" s="1"/>
  <c r="H157" i="3"/>
  <c r="N157" i="3" s="1"/>
  <c r="E158" i="4" s="1"/>
  <c r="I157" i="3"/>
  <c r="O157" i="3" s="1"/>
  <c r="F158" i="4" s="1"/>
  <c r="H158" i="3"/>
  <c r="N158" i="3" s="1"/>
  <c r="I158" i="3"/>
  <c r="O158" i="3" s="1"/>
  <c r="F159" i="4" s="1"/>
  <c r="H159" i="3"/>
  <c r="N159" i="3" s="1"/>
  <c r="E160" i="4" s="1"/>
  <c r="I159" i="3"/>
  <c r="O159" i="3" s="1"/>
  <c r="F160" i="4" s="1"/>
  <c r="H160" i="3"/>
  <c r="N160" i="3" s="1"/>
  <c r="E161" i="4" s="1"/>
  <c r="I160" i="3"/>
  <c r="O160" i="3" s="1"/>
  <c r="F161" i="4" s="1"/>
  <c r="H161" i="3"/>
  <c r="N161" i="3" s="1"/>
  <c r="E162" i="4" s="1"/>
  <c r="I161" i="3"/>
  <c r="O161" i="3" s="1"/>
  <c r="F162" i="4" s="1"/>
  <c r="H162" i="3"/>
  <c r="N162" i="3" s="1"/>
  <c r="I162" i="3"/>
  <c r="O162" i="3" s="1"/>
  <c r="F163" i="4" s="1"/>
  <c r="H163" i="3"/>
  <c r="N163" i="3" s="1"/>
  <c r="E164" i="4" s="1"/>
  <c r="I163" i="3"/>
  <c r="O163" i="3" s="1"/>
  <c r="F164" i="4" s="1"/>
  <c r="H164" i="3"/>
  <c r="N164" i="3" s="1"/>
  <c r="E165" i="4" s="1"/>
  <c r="I164" i="3"/>
  <c r="O164" i="3" s="1"/>
  <c r="F165" i="4" s="1"/>
  <c r="H165" i="3"/>
  <c r="N165" i="3" s="1"/>
  <c r="E166" i="4" s="1"/>
  <c r="I165" i="3"/>
  <c r="O165" i="3" s="1"/>
  <c r="F166" i="4" s="1"/>
  <c r="H166" i="3"/>
  <c r="N166" i="3" s="1"/>
  <c r="I166" i="3"/>
  <c r="O166" i="3" s="1"/>
  <c r="F167" i="4" s="1"/>
  <c r="H167" i="3"/>
  <c r="N167" i="3" s="1"/>
  <c r="E168" i="4" s="1"/>
  <c r="I167" i="3"/>
  <c r="O167" i="3" s="1"/>
  <c r="F168" i="4" s="1"/>
  <c r="H168" i="3"/>
  <c r="N168" i="3" s="1"/>
  <c r="I168" i="3"/>
  <c r="O168" i="3" s="1"/>
  <c r="F169" i="4" s="1"/>
  <c r="H169" i="3"/>
  <c r="N169" i="3" s="1"/>
  <c r="E170" i="4" s="1"/>
  <c r="I169" i="3"/>
  <c r="O169" i="3" s="1"/>
  <c r="F170" i="4" s="1"/>
  <c r="H170" i="3"/>
  <c r="N170" i="3" s="1"/>
  <c r="I170" i="3"/>
  <c r="O170" i="3" s="1"/>
  <c r="F171" i="4" s="1"/>
  <c r="H171" i="3"/>
  <c r="N171" i="3" s="1"/>
  <c r="E172" i="4" s="1"/>
  <c r="I171" i="3"/>
  <c r="O171" i="3" s="1"/>
  <c r="F172" i="4" s="1"/>
  <c r="H172" i="3"/>
  <c r="N172" i="3" s="1"/>
  <c r="E173" i="4" s="1"/>
  <c r="I172" i="3"/>
  <c r="O172" i="3" s="1"/>
  <c r="F173" i="4" s="1"/>
  <c r="H173" i="3"/>
  <c r="N173" i="3" s="1"/>
  <c r="E174" i="4" s="1"/>
  <c r="I173" i="3"/>
  <c r="O173" i="3" s="1"/>
  <c r="F174" i="4" s="1"/>
  <c r="H174" i="3"/>
  <c r="N174" i="3" s="1"/>
  <c r="I174" i="3"/>
  <c r="O174" i="3" s="1"/>
  <c r="F175" i="4" s="1"/>
  <c r="H175" i="3"/>
  <c r="N175" i="3" s="1"/>
  <c r="E176" i="4" s="1"/>
  <c r="I175" i="3"/>
  <c r="O175" i="3" s="1"/>
  <c r="F176" i="4" s="1"/>
  <c r="H176" i="3"/>
  <c r="N176" i="3" s="1"/>
  <c r="E177" i="4" s="1"/>
  <c r="I176" i="3"/>
  <c r="O176" i="3" s="1"/>
  <c r="F177" i="4" s="1"/>
  <c r="H177" i="3"/>
  <c r="N177" i="3" s="1"/>
  <c r="E178" i="4" s="1"/>
  <c r="I177" i="3"/>
  <c r="O177" i="3" s="1"/>
  <c r="F178" i="4" s="1"/>
  <c r="H178" i="3"/>
  <c r="N178" i="3" s="1"/>
  <c r="I178" i="3"/>
  <c r="O178" i="3" s="1"/>
  <c r="F179" i="4" s="1"/>
  <c r="H179" i="3"/>
  <c r="N179" i="3" s="1"/>
  <c r="E180" i="4" s="1"/>
  <c r="I179" i="3"/>
  <c r="O179" i="3" s="1"/>
  <c r="F180" i="4" s="1"/>
  <c r="H180" i="3"/>
  <c r="N180" i="3" s="1"/>
  <c r="I180" i="3"/>
  <c r="O180" i="3" s="1"/>
  <c r="F181" i="4" s="1"/>
  <c r="H181" i="3"/>
  <c r="N181" i="3" s="1"/>
  <c r="E182" i="4" s="1"/>
  <c r="I181" i="3"/>
  <c r="O181" i="3" s="1"/>
  <c r="F182" i="4" s="1"/>
  <c r="H182" i="3"/>
  <c r="N182" i="3" s="1"/>
  <c r="I182" i="3"/>
  <c r="O182" i="3" s="1"/>
  <c r="F183" i="4" s="1"/>
  <c r="B6" i="4"/>
  <c r="C6" i="4"/>
  <c r="D6" i="4"/>
  <c r="B7" i="4"/>
  <c r="C7" i="4"/>
  <c r="D7" i="4"/>
  <c r="B8" i="4"/>
  <c r="C8" i="4"/>
  <c r="D8" i="4"/>
  <c r="B9" i="4"/>
  <c r="C9" i="4"/>
  <c r="D9" i="4"/>
  <c r="B10" i="4"/>
  <c r="C10" i="4"/>
  <c r="D10" i="4"/>
  <c r="B11" i="4"/>
  <c r="C11" i="4"/>
  <c r="D11" i="4"/>
  <c r="B12" i="4"/>
  <c r="C12" i="4"/>
  <c r="D12" i="4"/>
  <c r="B13" i="4"/>
  <c r="C13" i="4"/>
  <c r="D13" i="4"/>
  <c r="B14" i="4"/>
  <c r="C14" i="4"/>
  <c r="D14" i="4"/>
  <c r="B15" i="4"/>
  <c r="C15" i="4"/>
  <c r="D15" i="4"/>
  <c r="B16" i="4"/>
  <c r="C16" i="4"/>
  <c r="D16" i="4"/>
  <c r="B17" i="4"/>
  <c r="C17" i="4"/>
  <c r="D17" i="4"/>
  <c r="B18" i="4"/>
  <c r="C18" i="4"/>
  <c r="D18" i="4"/>
  <c r="B19" i="4"/>
  <c r="C19" i="4"/>
  <c r="D19" i="4"/>
  <c r="B20" i="4"/>
  <c r="C20" i="4"/>
  <c r="D20" i="4"/>
  <c r="B21" i="4"/>
  <c r="C21" i="4"/>
  <c r="D21" i="4"/>
  <c r="B22" i="4"/>
  <c r="C22" i="4"/>
  <c r="D22" i="4"/>
  <c r="B23" i="4"/>
  <c r="C23" i="4"/>
  <c r="D23" i="4"/>
  <c r="B24" i="4"/>
  <c r="C24" i="4"/>
  <c r="D24" i="4"/>
  <c r="B25" i="4"/>
  <c r="C25" i="4"/>
  <c r="D25" i="4"/>
  <c r="B26" i="4"/>
  <c r="C26" i="4"/>
  <c r="D26" i="4"/>
  <c r="B27" i="4"/>
  <c r="C27" i="4"/>
  <c r="D27" i="4"/>
  <c r="B28" i="4"/>
  <c r="C28" i="4"/>
  <c r="D28" i="4"/>
  <c r="B29" i="4"/>
  <c r="C29" i="4"/>
  <c r="D29" i="4"/>
  <c r="B30" i="4"/>
  <c r="C30" i="4"/>
  <c r="D30" i="4"/>
  <c r="B31" i="4"/>
  <c r="C31" i="4"/>
  <c r="D31" i="4"/>
  <c r="B32" i="4"/>
  <c r="C32" i="4"/>
  <c r="D32" i="4"/>
  <c r="B33" i="4"/>
  <c r="C33" i="4"/>
  <c r="D33" i="4"/>
  <c r="B34" i="4"/>
  <c r="C34" i="4"/>
  <c r="D34" i="4"/>
  <c r="B35" i="4"/>
  <c r="C35" i="4"/>
  <c r="D35" i="4"/>
  <c r="B36" i="4"/>
  <c r="C36" i="4"/>
  <c r="D36" i="4"/>
  <c r="B37" i="4"/>
  <c r="C37" i="4"/>
  <c r="D37" i="4"/>
  <c r="B38" i="4"/>
  <c r="C38" i="4"/>
  <c r="D38" i="4"/>
  <c r="B39" i="4"/>
  <c r="C39" i="4"/>
  <c r="D39" i="4"/>
  <c r="B40" i="4"/>
  <c r="C40" i="4"/>
  <c r="D40" i="4"/>
  <c r="B41" i="4"/>
  <c r="C41" i="4"/>
  <c r="D41" i="4"/>
  <c r="B42" i="4"/>
  <c r="C42" i="4"/>
  <c r="D42" i="4"/>
  <c r="B43" i="4"/>
  <c r="C43" i="4"/>
  <c r="D43" i="4"/>
  <c r="B44" i="4"/>
  <c r="C44" i="4"/>
  <c r="D44" i="4"/>
  <c r="B45" i="4"/>
  <c r="C45" i="4"/>
  <c r="D45" i="4"/>
  <c r="B46" i="4"/>
  <c r="C46" i="4"/>
  <c r="D46" i="4"/>
  <c r="B47" i="4"/>
  <c r="C47" i="4"/>
  <c r="D47" i="4"/>
  <c r="B48" i="4"/>
  <c r="C48" i="4"/>
  <c r="D48" i="4"/>
  <c r="B49" i="4"/>
  <c r="C49" i="4"/>
  <c r="D49" i="4"/>
  <c r="B50" i="4"/>
  <c r="C50" i="4"/>
  <c r="D50" i="4"/>
  <c r="B51" i="4"/>
  <c r="C51" i="4"/>
  <c r="D51" i="4"/>
  <c r="B52" i="4"/>
  <c r="C52" i="4"/>
  <c r="D52" i="4"/>
  <c r="B53" i="4"/>
  <c r="C53" i="4"/>
  <c r="D53" i="4"/>
  <c r="B54" i="4"/>
  <c r="C54" i="4"/>
  <c r="D54" i="4"/>
  <c r="B55" i="4"/>
  <c r="C55" i="4"/>
  <c r="D55" i="4"/>
  <c r="B56" i="4"/>
  <c r="C56" i="4"/>
  <c r="D56" i="4"/>
  <c r="B57" i="4"/>
  <c r="C57" i="4"/>
  <c r="D57" i="4"/>
  <c r="B58" i="4"/>
  <c r="C58" i="4"/>
  <c r="D58" i="4"/>
  <c r="B59" i="4"/>
  <c r="C59" i="4"/>
  <c r="D59" i="4"/>
  <c r="B60" i="4"/>
  <c r="C60" i="4"/>
  <c r="D60" i="4"/>
  <c r="B61" i="4"/>
  <c r="C61" i="4"/>
  <c r="D61" i="4"/>
  <c r="B62" i="4"/>
  <c r="C62" i="4"/>
  <c r="D62" i="4"/>
  <c r="B63" i="4"/>
  <c r="C63" i="4"/>
  <c r="D63" i="4"/>
  <c r="B64" i="4"/>
  <c r="C64" i="4"/>
  <c r="D64" i="4"/>
  <c r="B65" i="4"/>
  <c r="C65" i="4"/>
  <c r="D65" i="4"/>
  <c r="B66" i="4"/>
  <c r="C66" i="4"/>
  <c r="D66" i="4"/>
  <c r="B67" i="4"/>
  <c r="C67" i="4"/>
  <c r="D67" i="4"/>
  <c r="B68" i="4"/>
  <c r="C68" i="4"/>
  <c r="D68" i="4"/>
  <c r="B69" i="4"/>
  <c r="C69" i="4"/>
  <c r="D69" i="4"/>
  <c r="B70" i="4"/>
  <c r="C70" i="4"/>
  <c r="D70" i="4"/>
  <c r="B71" i="4"/>
  <c r="C71" i="4"/>
  <c r="D71" i="4"/>
  <c r="B72" i="4"/>
  <c r="C72" i="4"/>
  <c r="D72" i="4"/>
  <c r="B73" i="4"/>
  <c r="C73" i="4"/>
  <c r="D73" i="4"/>
  <c r="B74" i="4"/>
  <c r="C74" i="4"/>
  <c r="D74" i="4"/>
  <c r="B75" i="4"/>
  <c r="C75" i="4"/>
  <c r="D75" i="4"/>
  <c r="B76" i="4"/>
  <c r="C76" i="4"/>
  <c r="D76" i="4"/>
  <c r="B77" i="4"/>
  <c r="C77" i="4"/>
  <c r="D77" i="4"/>
  <c r="B78" i="4"/>
  <c r="C78" i="4"/>
  <c r="D78" i="4"/>
  <c r="B79" i="4"/>
  <c r="C79" i="4"/>
  <c r="D79" i="4"/>
  <c r="B80" i="4"/>
  <c r="C80" i="4"/>
  <c r="D80" i="4"/>
  <c r="B81" i="4"/>
  <c r="C81" i="4"/>
  <c r="D81" i="4"/>
  <c r="B82" i="4"/>
  <c r="C82" i="4"/>
  <c r="D82" i="4"/>
  <c r="B83" i="4"/>
  <c r="C83" i="4"/>
  <c r="D83" i="4"/>
  <c r="B84" i="4"/>
  <c r="C84" i="4"/>
  <c r="D84" i="4"/>
  <c r="B85" i="4"/>
  <c r="C85" i="4"/>
  <c r="D85" i="4"/>
  <c r="B86" i="4"/>
  <c r="C86" i="4"/>
  <c r="D86" i="4"/>
  <c r="B87" i="4"/>
  <c r="C87" i="4"/>
  <c r="D87" i="4"/>
  <c r="B88" i="4"/>
  <c r="C88" i="4"/>
  <c r="D88" i="4"/>
  <c r="B89" i="4"/>
  <c r="C89" i="4"/>
  <c r="D89" i="4"/>
  <c r="B90" i="4"/>
  <c r="C90" i="4"/>
  <c r="D90" i="4"/>
  <c r="B91" i="4"/>
  <c r="C91" i="4"/>
  <c r="D91" i="4"/>
  <c r="B92" i="4"/>
  <c r="C92" i="4"/>
  <c r="D92" i="4"/>
  <c r="B93" i="4"/>
  <c r="C93" i="4"/>
  <c r="D93" i="4"/>
  <c r="B94" i="4"/>
  <c r="C94" i="4"/>
  <c r="D94" i="4"/>
  <c r="B95" i="4"/>
  <c r="C95" i="4"/>
  <c r="D95" i="4"/>
  <c r="B96" i="4"/>
  <c r="C96" i="4"/>
  <c r="D96" i="4"/>
  <c r="B97" i="4"/>
  <c r="C97" i="4"/>
  <c r="D97" i="4"/>
  <c r="B98" i="4"/>
  <c r="C98" i="4"/>
  <c r="D98" i="4"/>
  <c r="B99" i="4"/>
  <c r="C99" i="4"/>
  <c r="D99" i="4"/>
  <c r="B100" i="4"/>
  <c r="C100" i="4"/>
  <c r="D100" i="4"/>
  <c r="B101" i="4"/>
  <c r="C101" i="4"/>
  <c r="D101" i="4"/>
  <c r="B102" i="4"/>
  <c r="C102" i="4"/>
  <c r="D102" i="4"/>
  <c r="B103" i="4"/>
  <c r="C103" i="4"/>
  <c r="D103" i="4"/>
  <c r="B104" i="4"/>
  <c r="C104" i="4"/>
  <c r="D104" i="4"/>
  <c r="B105" i="4"/>
  <c r="C105" i="4"/>
  <c r="D105" i="4"/>
  <c r="B106" i="4"/>
  <c r="C106" i="4"/>
  <c r="D106" i="4"/>
  <c r="B107" i="4"/>
  <c r="C107" i="4"/>
  <c r="D107" i="4"/>
  <c r="B108" i="4"/>
  <c r="C108" i="4"/>
  <c r="D108" i="4"/>
  <c r="B109" i="4"/>
  <c r="C109" i="4"/>
  <c r="D109" i="4"/>
  <c r="B110" i="4"/>
  <c r="C110" i="4"/>
  <c r="D110" i="4"/>
  <c r="B111" i="4"/>
  <c r="C111" i="4"/>
  <c r="D111" i="4"/>
  <c r="B112" i="4"/>
  <c r="C112" i="4"/>
  <c r="D112" i="4"/>
  <c r="B113" i="4"/>
  <c r="C113" i="4"/>
  <c r="D113" i="4"/>
  <c r="B114" i="4"/>
  <c r="C114" i="4"/>
  <c r="D114" i="4"/>
  <c r="B115" i="4"/>
  <c r="C115" i="4"/>
  <c r="D115" i="4"/>
  <c r="B116" i="4"/>
  <c r="C116" i="4"/>
  <c r="D116" i="4"/>
  <c r="B117" i="4"/>
  <c r="C117" i="4"/>
  <c r="D117" i="4"/>
  <c r="B118" i="4"/>
  <c r="C118" i="4"/>
  <c r="D118" i="4"/>
  <c r="B119" i="4"/>
  <c r="C119" i="4"/>
  <c r="D119" i="4"/>
  <c r="B120" i="4"/>
  <c r="C120" i="4"/>
  <c r="D120" i="4"/>
  <c r="B121" i="4"/>
  <c r="C121" i="4"/>
  <c r="D121" i="4"/>
  <c r="B122" i="4"/>
  <c r="C122" i="4"/>
  <c r="D122" i="4"/>
  <c r="B123" i="4"/>
  <c r="C123" i="4"/>
  <c r="D123" i="4"/>
  <c r="B124" i="4"/>
  <c r="C124" i="4"/>
  <c r="D124" i="4"/>
  <c r="B125" i="4"/>
  <c r="C125" i="4"/>
  <c r="D125" i="4"/>
  <c r="B126" i="4"/>
  <c r="C126" i="4"/>
  <c r="D126" i="4"/>
  <c r="B127" i="4"/>
  <c r="C127" i="4"/>
  <c r="D127" i="4"/>
  <c r="B128" i="4"/>
  <c r="C128" i="4"/>
  <c r="D128" i="4"/>
  <c r="B129" i="4"/>
  <c r="C129" i="4"/>
  <c r="D129" i="4"/>
  <c r="B130" i="4"/>
  <c r="C130" i="4"/>
  <c r="D130" i="4"/>
  <c r="B131" i="4"/>
  <c r="C131" i="4"/>
  <c r="D131" i="4"/>
  <c r="B132" i="4"/>
  <c r="C132" i="4"/>
  <c r="D132" i="4"/>
  <c r="B133" i="4"/>
  <c r="C133" i="4"/>
  <c r="D133" i="4"/>
  <c r="B134" i="4"/>
  <c r="C134" i="4"/>
  <c r="D134" i="4"/>
  <c r="B135" i="4"/>
  <c r="C135" i="4"/>
  <c r="D135" i="4"/>
  <c r="B136" i="4"/>
  <c r="C136" i="4"/>
  <c r="D136" i="4"/>
  <c r="B137" i="4"/>
  <c r="C137" i="4"/>
  <c r="D137" i="4"/>
  <c r="B138" i="4"/>
  <c r="C138" i="4"/>
  <c r="D138" i="4"/>
  <c r="B139" i="4"/>
  <c r="C139" i="4"/>
  <c r="D139" i="4"/>
  <c r="B140" i="4"/>
  <c r="C140" i="4"/>
  <c r="D140" i="4"/>
  <c r="B141" i="4"/>
  <c r="C141" i="4"/>
  <c r="D141" i="4"/>
  <c r="B142" i="4"/>
  <c r="C142" i="4"/>
  <c r="D142" i="4"/>
  <c r="B143" i="4"/>
  <c r="C143" i="4"/>
  <c r="D143" i="4"/>
  <c r="B144" i="4"/>
  <c r="C144" i="4"/>
  <c r="D144" i="4"/>
  <c r="B145" i="4"/>
  <c r="C145" i="4"/>
  <c r="D145" i="4"/>
  <c r="B146" i="4"/>
  <c r="C146" i="4"/>
  <c r="D146" i="4"/>
  <c r="B147" i="4"/>
  <c r="C147" i="4"/>
  <c r="D147" i="4"/>
  <c r="B148" i="4"/>
  <c r="C148" i="4"/>
  <c r="D148" i="4"/>
  <c r="B149" i="4"/>
  <c r="C149" i="4"/>
  <c r="D149" i="4"/>
  <c r="B150" i="4"/>
  <c r="C150" i="4"/>
  <c r="D150" i="4"/>
  <c r="B151" i="4"/>
  <c r="C151" i="4"/>
  <c r="D151" i="4"/>
  <c r="B152" i="4"/>
  <c r="C152" i="4"/>
  <c r="D152" i="4"/>
  <c r="B153" i="4"/>
  <c r="C153" i="4"/>
  <c r="D153" i="4"/>
  <c r="B154" i="4"/>
  <c r="C154" i="4"/>
  <c r="D154" i="4"/>
  <c r="B155" i="4"/>
  <c r="C155" i="4"/>
  <c r="D155" i="4"/>
  <c r="B156" i="4"/>
  <c r="C156" i="4"/>
  <c r="D156" i="4"/>
  <c r="B157" i="4"/>
  <c r="C157" i="4"/>
  <c r="D157" i="4"/>
  <c r="B158" i="4"/>
  <c r="C158" i="4"/>
  <c r="D158" i="4"/>
  <c r="B159" i="4"/>
  <c r="C159" i="4"/>
  <c r="D159" i="4"/>
  <c r="B160" i="4"/>
  <c r="C160" i="4"/>
  <c r="D160" i="4"/>
  <c r="B161" i="4"/>
  <c r="C161" i="4"/>
  <c r="D161" i="4"/>
  <c r="B162" i="4"/>
  <c r="C162" i="4"/>
  <c r="D162" i="4"/>
  <c r="B163" i="4"/>
  <c r="C163" i="4"/>
  <c r="D163" i="4"/>
  <c r="B164" i="4"/>
  <c r="C164" i="4"/>
  <c r="D164" i="4"/>
  <c r="B165" i="4"/>
  <c r="C165" i="4"/>
  <c r="D165" i="4"/>
  <c r="B166" i="4"/>
  <c r="C166" i="4"/>
  <c r="D166" i="4"/>
  <c r="B167" i="4"/>
  <c r="C167" i="4"/>
  <c r="D167" i="4"/>
  <c r="B168" i="4"/>
  <c r="C168" i="4"/>
  <c r="D168" i="4"/>
  <c r="B169" i="4"/>
  <c r="C169" i="4"/>
  <c r="D169" i="4"/>
  <c r="B170" i="4"/>
  <c r="C170" i="4"/>
  <c r="D170" i="4"/>
  <c r="B171" i="4"/>
  <c r="C171" i="4"/>
  <c r="D171" i="4"/>
  <c r="B172" i="4"/>
  <c r="C172" i="4"/>
  <c r="D172" i="4"/>
  <c r="B173" i="4"/>
  <c r="C173" i="4"/>
  <c r="D173" i="4"/>
  <c r="B174" i="4"/>
  <c r="C174" i="4"/>
  <c r="D174" i="4"/>
  <c r="B175" i="4"/>
  <c r="C175" i="4"/>
  <c r="D175" i="4"/>
  <c r="B176" i="4"/>
  <c r="C176" i="4"/>
  <c r="D176" i="4"/>
  <c r="B177" i="4"/>
  <c r="C177" i="4"/>
  <c r="D177" i="4"/>
  <c r="B178" i="4"/>
  <c r="C178" i="4"/>
  <c r="D178" i="4"/>
  <c r="B179" i="4"/>
  <c r="C179" i="4"/>
  <c r="D179" i="4"/>
  <c r="B180" i="4"/>
  <c r="C180" i="4"/>
  <c r="D180" i="4"/>
  <c r="B181" i="4"/>
  <c r="C181" i="4"/>
  <c r="D181" i="4"/>
  <c r="B182" i="4"/>
  <c r="C182" i="4"/>
  <c r="D182" i="4"/>
  <c r="B183" i="4"/>
  <c r="C183" i="4"/>
  <c r="D183" i="4"/>
  <c r="C5" i="4"/>
  <c r="D5" i="4"/>
  <c r="B5" i="4"/>
  <c r="C4" i="4"/>
  <c r="D4" i="4"/>
  <c r="B4" i="4"/>
  <c r="C3" i="4"/>
  <c r="D3" i="4"/>
  <c r="E3" i="4"/>
  <c r="F3" i="4"/>
  <c r="G3" i="4"/>
  <c r="H3" i="4"/>
  <c r="I3" i="4"/>
  <c r="B3" i="4"/>
  <c r="G6" i="3"/>
  <c r="G7" i="3"/>
  <c r="G8" i="3"/>
  <c r="G9" i="3"/>
  <c r="G10" i="3"/>
  <c r="G3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5" i="3"/>
  <c r="F6" i="3"/>
  <c r="F7" i="3"/>
  <c r="F8" i="3"/>
  <c r="F9" i="3"/>
  <c r="F10" i="3"/>
  <c r="F3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5" i="3"/>
  <c r="E6" i="3"/>
  <c r="E7" i="3"/>
  <c r="E8" i="3"/>
  <c r="E9" i="3"/>
  <c r="E10" i="3"/>
  <c r="E3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5" i="3"/>
  <c r="N3" i="3" l="1"/>
  <c r="E4" i="4" s="1"/>
  <c r="R33" i="3"/>
  <c r="I34" i="4" s="1"/>
  <c r="G34" i="4"/>
  <c r="R6" i="3"/>
  <c r="I6" i="4" s="1"/>
  <c r="G6" i="4"/>
  <c r="R41" i="3"/>
  <c r="I42" i="4" s="1"/>
  <c r="G42" i="4"/>
  <c r="R171" i="3"/>
  <c r="I172" i="4" s="1"/>
  <c r="G172" i="4"/>
  <c r="R135" i="3"/>
  <c r="I136" i="4" s="1"/>
  <c r="G136" i="4"/>
  <c r="R131" i="3"/>
  <c r="I132" i="4" s="1"/>
  <c r="G132" i="4"/>
  <c r="R111" i="3"/>
  <c r="I112" i="4" s="1"/>
  <c r="G112" i="4"/>
  <c r="R103" i="3"/>
  <c r="I104" i="4" s="1"/>
  <c r="G104" i="4"/>
  <c r="R91" i="3"/>
  <c r="I92" i="4" s="1"/>
  <c r="G92" i="4"/>
  <c r="R59" i="3"/>
  <c r="I60" i="4" s="1"/>
  <c r="G60" i="4"/>
  <c r="R55" i="3"/>
  <c r="I56" i="4" s="1"/>
  <c r="G56" i="4"/>
  <c r="R51" i="3"/>
  <c r="I52" i="4" s="1"/>
  <c r="G52" i="4"/>
  <c r="R47" i="3"/>
  <c r="I48" i="4" s="1"/>
  <c r="G48" i="4"/>
  <c r="R43" i="3"/>
  <c r="I44" i="4" s="1"/>
  <c r="G44" i="4"/>
  <c r="R39" i="3"/>
  <c r="I40" i="4" s="1"/>
  <c r="G40" i="4"/>
  <c r="R35" i="3"/>
  <c r="I36" i="4" s="1"/>
  <c r="G36" i="4"/>
  <c r="R31" i="3"/>
  <c r="I32" i="4" s="1"/>
  <c r="G32" i="4"/>
  <c r="R27" i="3"/>
  <c r="I28" i="4" s="1"/>
  <c r="G28" i="4"/>
  <c r="R23" i="3"/>
  <c r="I24" i="4" s="1"/>
  <c r="G24" i="4"/>
  <c r="R19" i="3"/>
  <c r="I20" i="4" s="1"/>
  <c r="G20" i="4"/>
  <c r="R15" i="3"/>
  <c r="I16" i="4" s="1"/>
  <c r="G16" i="4"/>
  <c r="R11" i="3"/>
  <c r="I12" i="4" s="1"/>
  <c r="G12" i="4"/>
  <c r="R7" i="3"/>
  <c r="I8" i="4" s="1"/>
  <c r="G8" i="4"/>
  <c r="R166" i="3"/>
  <c r="I167" i="4" s="1"/>
  <c r="G167" i="4"/>
  <c r="R158" i="3"/>
  <c r="I159" i="4" s="1"/>
  <c r="G159" i="4"/>
  <c r="R154" i="3"/>
  <c r="I155" i="4" s="1"/>
  <c r="G155" i="4"/>
  <c r="R150" i="3"/>
  <c r="I151" i="4" s="1"/>
  <c r="G151" i="4"/>
  <c r="R142" i="3"/>
  <c r="I143" i="4" s="1"/>
  <c r="G143" i="4"/>
  <c r="R138" i="3"/>
  <c r="I139" i="4" s="1"/>
  <c r="G139" i="4"/>
  <c r="R134" i="3"/>
  <c r="I135" i="4" s="1"/>
  <c r="G135" i="4"/>
  <c r="R126" i="3"/>
  <c r="I127" i="4" s="1"/>
  <c r="G127" i="4"/>
  <c r="R122" i="3"/>
  <c r="I123" i="4" s="1"/>
  <c r="G123" i="4"/>
  <c r="R106" i="3"/>
  <c r="I107" i="4" s="1"/>
  <c r="G107" i="4"/>
  <c r="R102" i="3"/>
  <c r="I103" i="4" s="1"/>
  <c r="G103" i="4"/>
  <c r="R94" i="3"/>
  <c r="I95" i="4" s="1"/>
  <c r="G95" i="4"/>
  <c r="R86" i="3"/>
  <c r="I87" i="4" s="1"/>
  <c r="G87" i="4"/>
  <c r="R82" i="3"/>
  <c r="I83" i="4" s="1"/>
  <c r="G83" i="4"/>
  <c r="R74" i="3"/>
  <c r="I75" i="4" s="1"/>
  <c r="G75" i="4"/>
  <c r="R70" i="3"/>
  <c r="I71" i="4" s="1"/>
  <c r="G71" i="4"/>
  <c r="R66" i="3"/>
  <c r="I67" i="4" s="1"/>
  <c r="G67" i="4"/>
  <c r="R62" i="3"/>
  <c r="I63" i="4" s="1"/>
  <c r="G63" i="4"/>
  <c r="R50" i="3"/>
  <c r="I51" i="4" s="1"/>
  <c r="G51" i="4"/>
  <c r="R34" i="3"/>
  <c r="I35" i="4" s="1"/>
  <c r="G35" i="4"/>
  <c r="R30" i="3"/>
  <c r="I31" i="4" s="1"/>
  <c r="G31" i="4"/>
  <c r="R22" i="3"/>
  <c r="I23" i="4" s="1"/>
  <c r="G23" i="4"/>
  <c r="R18" i="3"/>
  <c r="I19" i="4" s="1"/>
  <c r="G19" i="4"/>
  <c r="R10" i="3"/>
  <c r="I11" i="4" s="1"/>
  <c r="G11" i="4"/>
  <c r="I7" i="4"/>
  <c r="G7" i="4"/>
  <c r="R3" i="3"/>
  <c r="I4" i="4" s="1"/>
  <c r="Q13" i="3"/>
  <c r="H14" i="4" s="1"/>
  <c r="J14" i="4" s="1"/>
  <c r="Q54" i="3"/>
  <c r="H55" i="4" s="1"/>
  <c r="J55" i="4" s="1"/>
  <c r="Q50" i="3"/>
  <c r="H51" i="4" s="1"/>
  <c r="Q46" i="3"/>
  <c r="H47" i="4" s="1"/>
  <c r="Q42" i="3"/>
  <c r="H43" i="4" s="1"/>
  <c r="J43" i="4" s="1"/>
  <c r="Q38" i="3"/>
  <c r="H39" i="4" s="1"/>
  <c r="J39" i="4" s="1"/>
  <c r="Q34" i="3"/>
  <c r="H35" i="4" s="1"/>
  <c r="Q26" i="3"/>
  <c r="H27" i="4" s="1"/>
  <c r="Q22" i="3"/>
  <c r="H23" i="4" s="1"/>
  <c r="Q18" i="3"/>
  <c r="H19" i="4" s="1"/>
  <c r="Q14" i="3"/>
  <c r="H15" i="4" s="1"/>
  <c r="Q10" i="3"/>
  <c r="H11" i="4" s="1"/>
  <c r="H7" i="4"/>
  <c r="E7" i="4"/>
  <c r="G90" i="4"/>
  <c r="G78" i="4"/>
  <c r="G58" i="4"/>
  <c r="G54" i="4"/>
  <c r="G174" i="4"/>
  <c r="G158" i="4"/>
  <c r="G146" i="4"/>
  <c r="G134" i="4"/>
  <c r="G118" i="4"/>
  <c r="G74" i="4"/>
  <c r="G46" i="4"/>
  <c r="G38" i="4"/>
  <c r="G22" i="4"/>
  <c r="G182" i="4"/>
  <c r="G130" i="4"/>
  <c r="G110" i="4"/>
  <c r="G98" i="4"/>
  <c r="G140" i="4"/>
  <c r="G116" i="4"/>
  <c r="R179" i="3"/>
  <c r="I180" i="4" s="1"/>
  <c r="G180" i="4"/>
  <c r="R175" i="3"/>
  <c r="I176" i="4" s="1"/>
  <c r="G176" i="4"/>
  <c r="R167" i="3"/>
  <c r="I168" i="4" s="1"/>
  <c r="G168" i="4"/>
  <c r="R163" i="3"/>
  <c r="I164" i="4" s="1"/>
  <c r="G164" i="4"/>
  <c r="R159" i="3"/>
  <c r="I160" i="4" s="1"/>
  <c r="G160" i="4"/>
  <c r="R155" i="3"/>
  <c r="I156" i="4" s="1"/>
  <c r="G156" i="4"/>
  <c r="R151" i="3"/>
  <c r="I152" i="4" s="1"/>
  <c r="G152" i="4"/>
  <c r="R147" i="3"/>
  <c r="I148" i="4" s="1"/>
  <c r="G148" i="4"/>
  <c r="R143" i="3"/>
  <c r="I144" i="4" s="1"/>
  <c r="G144" i="4"/>
  <c r="R127" i="3"/>
  <c r="I128" i="4" s="1"/>
  <c r="G128" i="4"/>
  <c r="R123" i="3"/>
  <c r="I124" i="4" s="1"/>
  <c r="G124" i="4"/>
  <c r="R119" i="3"/>
  <c r="I120" i="4" s="1"/>
  <c r="G120" i="4"/>
  <c r="R107" i="3"/>
  <c r="I108" i="4" s="1"/>
  <c r="G108" i="4"/>
  <c r="R99" i="3"/>
  <c r="I100" i="4" s="1"/>
  <c r="G100" i="4"/>
  <c r="R95" i="3"/>
  <c r="I96" i="4" s="1"/>
  <c r="G96" i="4"/>
  <c r="R87" i="3"/>
  <c r="I88" i="4" s="1"/>
  <c r="G88" i="4"/>
  <c r="R83" i="3"/>
  <c r="I84" i="4" s="1"/>
  <c r="G84" i="4"/>
  <c r="R79" i="3"/>
  <c r="I80" i="4" s="1"/>
  <c r="G80" i="4"/>
  <c r="R75" i="3"/>
  <c r="I76" i="4" s="1"/>
  <c r="G76" i="4"/>
  <c r="R71" i="3"/>
  <c r="I72" i="4" s="1"/>
  <c r="G72" i="4"/>
  <c r="R67" i="3"/>
  <c r="I68" i="4" s="1"/>
  <c r="G68" i="4"/>
  <c r="R63" i="3"/>
  <c r="I64" i="4" s="1"/>
  <c r="G64" i="4"/>
  <c r="Q182" i="3"/>
  <c r="H183" i="4" s="1"/>
  <c r="J183" i="4" s="1"/>
  <c r="Q174" i="3"/>
  <c r="H175" i="4" s="1"/>
  <c r="J175" i="4" s="1"/>
  <c r="Q170" i="3"/>
  <c r="H171" i="4" s="1"/>
  <c r="J171" i="4" s="1"/>
  <c r="Q166" i="3"/>
  <c r="H167" i="4" s="1"/>
  <c r="Q162" i="3"/>
  <c r="H163" i="4" s="1"/>
  <c r="Q158" i="3"/>
  <c r="H159" i="4" s="1"/>
  <c r="Q154" i="3"/>
  <c r="H155" i="4" s="1"/>
  <c r="Q146" i="3"/>
  <c r="H147" i="4" s="1"/>
  <c r="Q134" i="3"/>
  <c r="H135" i="4" s="1"/>
  <c r="Q126" i="3"/>
  <c r="H127" i="4" s="1"/>
  <c r="Q122" i="3"/>
  <c r="H123" i="4" s="1"/>
  <c r="Q118" i="3"/>
  <c r="H119" i="4" s="1"/>
  <c r="J119" i="4" s="1"/>
  <c r="Q114" i="3"/>
  <c r="H115" i="4" s="1"/>
  <c r="Q110" i="3"/>
  <c r="H111" i="4" s="1"/>
  <c r="J111" i="4" s="1"/>
  <c r="Q106" i="3"/>
  <c r="H107" i="4" s="1"/>
  <c r="J107" i="4" s="1"/>
  <c r="Q102" i="3"/>
  <c r="H103" i="4" s="1"/>
  <c r="Q98" i="3"/>
  <c r="H99" i="4" s="1"/>
  <c r="Q94" i="3"/>
  <c r="H95" i="4" s="1"/>
  <c r="Q86" i="3"/>
  <c r="H87" i="4" s="1"/>
  <c r="Q82" i="3"/>
  <c r="H83" i="4" s="1"/>
  <c r="Q78" i="3"/>
  <c r="H79" i="4" s="1"/>
  <c r="Q74" i="3"/>
  <c r="H75" i="4" s="1"/>
  <c r="Q70" i="3"/>
  <c r="H71" i="4" s="1"/>
  <c r="Q66" i="3"/>
  <c r="H67" i="4" s="1"/>
  <c r="Q58" i="3"/>
  <c r="H59" i="4" s="1"/>
  <c r="Q178" i="3"/>
  <c r="H179" i="4" s="1"/>
  <c r="Q150" i="3"/>
  <c r="H151" i="4" s="1"/>
  <c r="J151" i="4" s="1"/>
  <c r="Q142" i="3"/>
  <c r="H143" i="4" s="1"/>
  <c r="Q138" i="3"/>
  <c r="H139" i="4" s="1"/>
  <c r="Q130" i="3"/>
  <c r="H131" i="4" s="1"/>
  <c r="Q90" i="3"/>
  <c r="H91" i="4" s="1"/>
  <c r="Q89" i="3"/>
  <c r="H90" i="4" s="1"/>
  <c r="J90" i="4" s="1"/>
  <c r="Q81" i="3"/>
  <c r="H82" i="4" s="1"/>
  <c r="Q77" i="3"/>
  <c r="H78" i="4" s="1"/>
  <c r="J78" i="4" s="1"/>
  <c r="Q69" i="3"/>
  <c r="H70" i="4" s="1"/>
  <c r="J70" i="4" s="1"/>
  <c r="Q65" i="3"/>
  <c r="H66" i="4" s="1"/>
  <c r="J66" i="4" s="1"/>
  <c r="Q61" i="3"/>
  <c r="H62" i="4" s="1"/>
  <c r="Q57" i="3"/>
  <c r="H58" i="4" s="1"/>
  <c r="J58" i="4" s="1"/>
  <c r="Q49" i="3"/>
  <c r="H50" i="4" s="1"/>
  <c r="Q45" i="3"/>
  <c r="H46" i="4" s="1"/>
  <c r="J46" i="4" s="1"/>
  <c r="Q37" i="3"/>
  <c r="H38" i="4" s="1"/>
  <c r="J38" i="4" s="1"/>
  <c r="Q33" i="3"/>
  <c r="H34" i="4" s="1"/>
  <c r="Q29" i="3"/>
  <c r="H30" i="4" s="1"/>
  <c r="Q25" i="3"/>
  <c r="H26" i="4" s="1"/>
  <c r="J26" i="4" s="1"/>
  <c r="Q17" i="3"/>
  <c r="H18" i="4" s="1"/>
  <c r="E47" i="4"/>
  <c r="E23" i="4"/>
  <c r="Q62" i="3"/>
  <c r="H63" i="4" s="1"/>
  <c r="E63" i="4"/>
  <c r="Q30" i="3"/>
  <c r="H31" i="4" s="1"/>
  <c r="E31" i="4"/>
  <c r="E55" i="4"/>
  <c r="R169" i="3"/>
  <c r="I170" i="4" s="1"/>
  <c r="G170" i="4"/>
  <c r="R153" i="3"/>
  <c r="I154" i="4" s="1"/>
  <c r="G154" i="4"/>
  <c r="R121" i="3"/>
  <c r="I122" i="4" s="1"/>
  <c r="G122" i="4"/>
  <c r="R105" i="3"/>
  <c r="I106" i="4" s="1"/>
  <c r="G106" i="4"/>
  <c r="R81" i="3"/>
  <c r="I82" i="4" s="1"/>
  <c r="G82" i="4"/>
  <c r="R29" i="3"/>
  <c r="I30" i="4" s="1"/>
  <c r="G30" i="4"/>
  <c r="G5" i="4"/>
  <c r="G162" i="4"/>
  <c r="G126" i="4"/>
  <c r="G94" i="4"/>
  <c r="E87" i="4"/>
  <c r="G70" i="4"/>
  <c r="Q180" i="3"/>
  <c r="H181" i="4" s="1"/>
  <c r="J181" i="4" s="1"/>
  <c r="Q172" i="3"/>
  <c r="H173" i="4" s="1"/>
  <c r="J173" i="4" s="1"/>
  <c r="Q156" i="3"/>
  <c r="H157" i="4" s="1"/>
  <c r="J157" i="4" s="1"/>
  <c r="Q152" i="3"/>
  <c r="H153" i="4" s="1"/>
  <c r="J153" i="4" s="1"/>
  <c r="E153" i="4"/>
  <c r="R146" i="3"/>
  <c r="I147" i="4" s="1"/>
  <c r="G147" i="4"/>
  <c r="Q144" i="3"/>
  <c r="H145" i="4" s="1"/>
  <c r="J145" i="4" s="1"/>
  <c r="Q136" i="3"/>
  <c r="H137" i="4" s="1"/>
  <c r="J137" i="4" s="1"/>
  <c r="E137" i="4"/>
  <c r="Q132" i="3"/>
  <c r="H133" i="4" s="1"/>
  <c r="J133" i="4" s="1"/>
  <c r="Q124" i="3"/>
  <c r="H125" i="4" s="1"/>
  <c r="J125" i="4" s="1"/>
  <c r="R114" i="3"/>
  <c r="I115" i="4" s="1"/>
  <c r="G115" i="4"/>
  <c r="Q108" i="3"/>
  <c r="H109" i="4" s="1"/>
  <c r="J109" i="4" s="1"/>
  <c r="Q104" i="3"/>
  <c r="H105" i="4" s="1"/>
  <c r="J105" i="4" s="1"/>
  <c r="Q100" i="3"/>
  <c r="H101" i="4" s="1"/>
  <c r="J101" i="4" s="1"/>
  <c r="R98" i="3"/>
  <c r="I99" i="4" s="1"/>
  <c r="G99" i="4"/>
  <c r="Q96" i="3"/>
  <c r="H97" i="4" s="1"/>
  <c r="J97" i="4" s="1"/>
  <c r="Q92" i="3"/>
  <c r="H93" i="4" s="1"/>
  <c r="J93" i="4" s="1"/>
  <c r="R90" i="3"/>
  <c r="I91" i="4" s="1"/>
  <c r="G91" i="4"/>
  <c r="Q88" i="3"/>
  <c r="H89" i="4" s="1"/>
  <c r="J89" i="4" s="1"/>
  <c r="E89" i="4"/>
  <c r="Q84" i="3"/>
  <c r="H85" i="4" s="1"/>
  <c r="J85" i="4" s="1"/>
  <c r="Q80" i="3"/>
  <c r="H81" i="4" s="1"/>
  <c r="J81" i="4" s="1"/>
  <c r="R78" i="3"/>
  <c r="I79" i="4" s="1"/>
  <c r="G79" i="4"/>
  <c r="Q76" i="3"/>
  <c r="H77" i="4" s="1"/>
  <c r="J77" i="4" s="1"/>
  <c r="Q73" i="3"/>
  <c r="H74" i="4" s="1"/>
  <c r="J74" i="4" s="1"/>
  <c r="F74" i="4"/>
  <c r="Q72" i="3"/>
  <c r="H73" i="4" s="1"/>
  <c r="J73" i="4" s="1"/>
  <c r="Q68" i="3"/>
  <c r="H69" i="4" s="1"/>
  <c r="J69" i="4" s="1"/>
  <c r="E69" i="4"/>
  <c r="Q64" i="3"/>
  <c r="H65" i="4" s="1"/>
  <c r="J65" i="4" s="1"/>
  <c r="Q60" i="3"/>
  <c r="H61" i="4" s="1"/>
  <c r="J61" i="4" s="1"/>
  <c r="R58" i="3"/>
  <c r="I59" i="4" s="1"/>
  <c r="G59" i="4"/>
  <c r="Q56" i="3"/>
  <c r="H57" i="4" s="1"/>
  <c r="J57" i="4" s="1"/>
  <c r="E57" i="4"/>
  <c r="Q53" i="3"/>
  <c r="H54" i="4" s="1"/>
  <c r="J54" i="4" s="1"/>
  <c r="F54" i="4"/>
  <c r="Q52" i="3"/>
  <c r="H53" i="4" s="1"/>
  <c r="J53" i="4" s="1"/>
  <c r="Q48" i="3"/>
  <c r="H49" i="4" s="1"/>
  <c r="J49" i="4" s="1"/>
  <c r="R46" i="3"/>
  <c r="I47" i="4" s="1"/>
  <c r="G47" i="4"/>
  <c r="Q44" i="3"/>
  <c r="H45" i="4" s="1"/>
  <c r="J45" i="4" s="1"/>
  <c r="Q41" i="3"/>
  <c r="H42" i="4" s="1"/>
  <c r="F42" i="4"/>
  <c r="Q40" i="3"/>
  <c r="H41" i="4" s="1"/>
  <c r="J41" i="4" s="1"/>
  <c r="Q36" i="3"/>
  <c r="H37" i="4" s="1"/>
  <c r="J37" i="4" s="1"/>
  <c r="E37" i="4"/>
  <c r="Q32" i="3"/>
  <c r="H33" i="4" s="1"/>
  <c r="J33" i="4" s="1"/>
  <c r="Q28" i="3"/>
  <c r="H29" i="4" s="1"/>
  <c r="J29" i="4" s="1"/>
  <c r="R26" i="3"/>
  <c r="I27" i="4" s="1"/>
  <c r="G27" i="4"/>
  <c r="Q24" i="3"/>
  <c r="H25" i="4" s="1"/>
  <c r="J25" i="4" s="1"/>
  <c r="E25" i="4"/>
  <c r="Q21" i="3"/>
  <c r="H22" i="4" s="1"/>
  <c r="J22" i="4" s="1"/>
  <c r="F22" i="4"/>
  <c r="Q20" i="3"/>
  <c r="H21" i="4" s="1"/>
  <c r="J21" i="4" s="1"/>
  <c r="Q16" i="3"/>
  <c r="H17" i="4" s="1"/>
  <c r="J17" i="4" s="1"/>
  <c r="R14" i="3"/>
  <c r="I15" i="4" s="1"/>
  <c r="G15" i="4"/>
  <c r="Q9" i="3"/>
  <c r="H10" i="4" s="1"/>
  <c r="J10" i="4" s="1"/>
  <c r="F10" i="4"/>
  <c r="E79" i="4"/>
  <c r="E39" i="4"/>
  <c r="R137" i="3"/>
  <c r="I138" i="4" s="1"/>
  <c r="G138" i="4"/>
  <c r="R61" i="3"/>
  <c r="I62" i="4" s="1"/>
  <c r="G62" i="4"/>
  <c r="R49" i="3"/>
  <c r="I50" i="4" s="1"/>
  <c r="G50" i="4"/>
  <c r="R17" i="3"/>
  <c r="I18" i="4" s="1"/>
  <c r="G18" i="4"/>
  <c r="G150" i="4"/>
  <c r="G102" i="4"/>
  <c r="G86" i="4"/>
  <c r="E71" i="4"/>
  <c r="G66" i="4"/>
  <c r="R178" i="3"/>
  <c r="I179" i="4" s="1"/>
  <c r="G179" i="4"/>
  <c r="Q176" i="3"/>
  <c r="H177" i="4" s="1"/>
  <c r="J177" i="4" s="1"/>
  <c r="Q168" i="3"/>
  <c r="H169" i="4" s="1"/>
  <c r="J169" i="4" s="1"/>
  <c r="E169" i="4"/>
  <c r="Q164" i="3"/>
  <c r="H165" i="4" s="1"/>
  <c r="J165" i="4" s="1"/>
  <c r="R162" i="3"/>
  <c r="I163" i="4" s="1"/>
  <c r="G163" i="4"/>
  <c r="Q160" i="3"/>
  <c r="H161" i="4" s="1"/>
  <c r="J161" i="4" s="1"/>
  <c r="Q148" i="3"/>
  <c r="H149" i="4" s="1"/>
  <c r="J149" i="4" s="1"/>
  <c r="Q140" i="3"/>
  <c r="H141" i="4" s="1"/>
  <c r="J141" i="4" s="1"/>
  <c r="R130" i="3"/>
  <c r="I131" i="4" s="1"/>
  <c r="G131" i="4"/>
  <c r="Q128" i="3"/>
  <c r="H129" i="4" s="1"/>
  <c r="J129" i="4" s="1"/>
  <c r="Q120" i="3"/>
  <c r="H121" i="4" s="1"/>
  <c r="J121" i="4" s="1"/>
  <c r="E121" i="4"/>
  <c r="Q116" i="3"/>
  <c r="H117" i="4" s="1"/>
  <c r="J117" i="4" s="1"/>
  <c r="Q112" i="3"/>
  <c r="H113" i="4" s="1"/>
  <c r="J113" i="4" s="1"/>
  <c r="Q85" i="3"/>
  <c r="H86" i="4" s="1"/>
  <c r="J86" i="4" s="1"/>
  <c r="F86" i="4"/>
  <c r="G183" i="4"/>
  <c r="E181" i="4"/>
  <c r="G178" i="4"/>
  <c r="G175" i="4"/>
  <c r="G171" i="4"/>
  <c r="G166" i="4"/>
  <c r="E157" i="4"/>
  <c r="G142" i="4"/>
  <c r="E129" i="4"/>
  <c r="G119" i="4"/>
  <c r="E117" i="4"/>
  <c r="G114" i="4"/>
  <c r="G111" i="4"/>
  <c r="E109" i="4"/>
  <c r="G105" i="4"/>
  <c r="E77" i="4"/>
  <c r="E73" i="4"/>
  <c r="F70" i="4"/>
  <c r="F66" i="4"/>
  <c r="G55" i="4"/>
  <c r="E53" i="4"/>
  <c r="E49" i="4"/>
  <c r="G43" i="4"/>
  <c r="G39" i="4"/>
  <c r="E33" i="4"/>
  <c r="E29" i="4"/>
  <c r="G26" i="4"/>
  <c r="E15" i="4"/>
  <c r="G14" i="4"/>
  <c r="G10" i="4"/>
  <c r="G181" i="4"/>
  <c r="G165" i="4"/>
  <c r="G149" i="4"/>
  <c r="G133" i="4"/>
  <c r="G117" i="4"/>
  <c r="G97" i="4"/>
  <c r="E91" i="4"/>
  <c r="E83" i="4"/>
  <c r="E75" i="4"/>
  <c r="E67" i="4"/>
  <c r="E59" i="4"/>
  <c r="E51" i="4"/>
  <c r="E43" i="4"/>
  <c r="E35" i="4"/>
  <c r="E27" i="4"/>
  <c r="E19" i="4"/>
  <c r="E11" i="4"/>
  <c r="G173" i="4"/>
  <c r="G157" i="4"/>
  <c r="G141" i="4"/>
  <c r="G125" i="4"/>
  <c r="E179" i="4"/>
  <c r="E171" i="4"/>
  <c r="E163" i="4"/>
  <c r="E155" i="4"/>
  <c r="E147" i="4"/>
  <c r="E139" i="4"/>
  <c r="E131" i="4"/>
  <c r="E123" i="4"/>
  <c r="E115" i="4"/>
  <c r="E107" i="4"/>
  <c r="E99" i="4"/>
  <c r="G177" i="4"/>
  <c r="G169" i="4"/>
  <c r="G161" i="4"/>
  <c r="G129" i="4"/>
  <c r="G121" i="4"/>
  <c r="G113" i="4"/>
  <c r="G109" i="4"/>
  <c r="G101" i="4"/>
  <c r="G93" i="4"/>
  <c r="G89" i="4"/>
  <c r="G85" i="4"/>
  <c r="G81" i="4"/>
  <c r="G77" i="4"/>
  <c r="G73" i="4"/>
  <c r="G69" i="4"/>
  <c r="G65" i="4"/>
  <c r="G61" i="4"/>
  <c r="G57" i="4"/>
  <c r="G53" i="4"/>
  <c r="G49" i="4"/>
  <c r="G45" i="4"/>
  <c r="G41" i="4"/>
  <c r="G37" i="4"/>
  <c r="G33" i="4"/>
  <c r="G29" i="4"/>
  <c r="G25" i="4"/>
  <c r="G21" i="4"/>
  <c r="G17" i="4"/>
  <c r="G13" i="4"/>
  <c r="G9" i="4"/>
  <c r="G153" i="4"/>
  <c r="G145" i="4"/>
  <c r="G137" i="4"/>
  <c r="E183" i="4"/>
  <c r="E175" i="4"/>
  <c r="E167" i="4"/>
  <c r="E159" i="4"/>
  <c r="E151" i="4"/>
  <c r="E143" i="4"/>
  <c r="E135" i="4"/>
  <c r="E127" i="4"/>
  <c r="E119" i="4"/>
  <c r="E111" i="4"/>
  <c r="E103" i="4"/>
  <c r="E95" i="4"/>
  <c r="Q179" i="3"/>
  <c r="H180" i="4" s="1"/>
  <c r="Q175" i="3"/>
  <c r="H176" i="4" s="1"/>
  <c r="Q171" i="3"/>
  <c r="H172" i="4" s="1"/>
  <c r="Q167" i="3"/>
  <c r="H168" i="4" s="1"/>
  <c r="Q163" i="3"/>
  <c r="H164" i="4" s="1"/>
  <c r="Q159" i="3"/>
  <c r="H160" i="4" s="1"/>
  <c r="Q155" i="3"/>
  <c r="H156" i="4" s="1"/>
  <c r="Q151" i="3"/>
  <c r="H152" i="4" s="1"/>
  <c r="Q147" i="3"/>
  <c r="H148" i="4" s="1"/>
  <c r="Q143" i="3"/>
  <c r="H144" i="4" s="1"/>
  <c r="Q139" i="3"/>
  <c r="H140" i="4" s="1"/>
  <c r="J140" i="4" s="1"/>
  <c r="Q135" i="3"/>
  <c r="H136" i="4" s="1"/>
  <c r="J136" i="4" s="1"/>
  <c r="Q131" i="3"/>
  <c r="H132" i="4" s="1"/>
  <c r="Q127" i="3"/>
  <c r="H128" i="4" s="1"/>
  <c r="Q123" i="3"/>
  <c r="H124" i="4" s="1"/>
  <c r="Q119" i="3"/>
  <c r="H120" i="4" s="1"/>
  <c r="Q115" i="3"/>
  <c r="H116" i="4" s="1"/>
  <c r="J116" i="4" s="1"/>
  <c r="Q111" i="3"/>
  <c r="H112" i="4" s="1"/>
  <c r="Q107" i="3"/>
  <c r="H108" i="4" s="1"/>
  <c r="Q103" i="3"/>
  <c r="H104" i="4" s="1"/>
  <c r="Q99" i="3"/>
  <c r="H100" i="4" s="1"/>
  <c r="Q95" i="3"/>
  <c r="H96" i="4" s="1"/>
  <c r="J96" i="4" s="1"/>
  <c r="Q91" i="3"/>
  <c r="H92" i="4" s="1"/>
  <c r="Q87" i="3"/>
  <c r="H88" i="4" s="1"/>
  <c r="Q83" i="3"/>
  <c r="H84" i="4" s="1"/>
  <c r="Q79" i="3"/>
  <c r="H80" i="4" s="1"/>
  <c r="Q75" i="3"/>
  <c r="H76" i="4" s="1"/>
  <c r="Q71" i="3"/>
  <c r="H72" i="4" s="1"/>
  <c r="J72" i="4" s="1"/>
  <c r="Q67" i="3"/>
  <c r="H68" i="4" s="1"/>
  <c r="Q63" i="3"/>
  <c r="H64" i="4" s="1"/>
  <c r="Q59" i="3"/>
  <c r="H60" i="4" s="1"/>
  <c r="Q55" i="3"/>
  <c r="H56" i="4" s="1"/>
  <c r="Q51" i="3"/>
  <c r="H52" i="4" s="1"/>
  <c r="Q47" i="3"/>
  <c r="H48" i="4" s="1"/>
  <c r="Q43" i="3"/>
  <c r="H44" i="4" s="1"/>
  <c r="Q39" i="3"/>
  <c r="H40" i="4" s="1"/>
  <c r="J40" i="4" s="1"/>
  <c r="Q35" i="3"/>
  <c r="H36" i="4" s="1"/>
  <c r="Q31" i="3"/>
  <c r="H32" i="4" s="1"/>
  <c r="Q27" i="3"/>
  <c r="H28" i="4" s="1"/>
  <c r="Q23" i="3"/>
  <c r="H24" i="4" s="1"/>
  <c r="J24" i="4" s="1"/>
  <c r="Q19" i="3"/>
  <c r="H20" i="4" s="1"/>
  <c r="Q15" i="3"/>
  <c r="H16" i="4" s="1"/>
  <c r="Q11" i="3"/>
  <c r="H12" i="4" s="1"/>
  <c r="Q7" i="3"/>
  <c r="H8" i="4" s="1"/>
  <c r="J8" i="4" s="1"/>
  <c r="Q12" i="3"/>
  <c r="H13" i="4" s="1"/>
  <c r="J13" i="4" s="1"/>
  <c r="Q8" i="3"/>
  <c r="H9" i="4" s="1"/>
  <c r="J9" i="4" s="1"/>
  <c r="Q181" i="3"/>
  <c r="H182" i="4" s="1"/>
  <c r="J182" i="4" s="1"/>
  <c r="Q177" i="3"/>
  <c r="H178" i="4" s="1"/>
  <c r="J178" i="4" s="1"/>
  <c r="Q173" i="3"/>
  <c r="H174" i="4" s="1"/>
  <c r="J174" i="4" s="1"/>
  <c r="Q169" i="3"/>
  <c r="H170" i="4" s="1"/>
  <c r="Q165" i="3"/>
  <c r="H166" i="4" s="1"/>
  <c r="J166" i="4" s="1"/>
  <c r="Q161" i="3"/>
  <c r="H162" i="4" s="1"/>
  <c r="J162" i="4" s="1"/>
  <c r="Q157" i="3"/>
  <c r="H158" i="4" s="1"/>
  <c r="J158" i="4" s="1"/>
  <c r="Q153" i="3"/>
  <c r="H154" i="4" s="1"/>
  <c r="Q149" i="3"/>
  <c r="H150" i="4" s="1"/>
  <c r="J150" i="4" s="1"/>
  <c r="Q145" i="3"/>
  <c r="H146" i="4" s="1"/>
  <c r="J146" i="4" s="1"/>
  <c r="Q141" i="3"/>
  <c r="H142" i="4" s="1"/>
  <c r="J142" i="4" s="1"/>
  <c r="Q137" i="3"/>
  <c r="H138" i="4" s="1"/>
  <c r="Q133" i="3"/>
  <c r="H134" i="4" s="1"/>
  <c r="J134" i="4" s="1"/>
  <c r="Q129" i="3"/>
  <c r="H130" i="4" s="1"/>
  <c r="J130" i="4" s="1"/>
  <c r="Q125" i="3"/>
  <c r="H126" i="4" s="1"/>
  <c r="J126" i="4" s="1"/>
  <c r="Q121" i="3"/>
  <c r="H122" i="4" s="1"/>
  <c r="Q117" i="3"/>
  <c r="H118" i="4" s="1"/>
  <c r="J118" i="4" s="1"/>
  <c r="Q113" i="3"/>
  <c r="H114" i="4" s="1"/>
  <c r="J114" i="4" s="1"/>
  <c r="Q109" i="3"/>
  <c r="H110" i="4" s="1"/>
  <c r="J110" i="4" s="1"/>
  <c r="Q105" i="3"/>
  <c r="H106" i="4" s="1"/>
  <c r="Q101" i="3"/>
  <c r="H102" i="4" s="1"/>
  <c r="J102" i="4" s="1"/>
  <c r="Q97" i="3"/>
  <c r="H98" i="4" s="1"/>
  <c r="J98" i="4" s="1"/>
  <c r="Q93" i="3"/>
  <c r="H94" i="4" s="1"/>
  <c r="J94" i="4" s="1"/>
  <c r="Q6" i="3"/>
  <c r="H6" i="4" s="1"/>
  <c r="J6" i="4" s="1"/>
  <c r="H5" i="3"/>
  <c r="N5" i="3" s="1"/>
  <c r="I5" i="3"/>
  <c r="O5" i="3" s="1"/>
  <c r="F5" i="4" s="1"/>
  <c r="J11" i="4" l="1"/>
  <c r="J122" i="4"/>
  <c r="J56" i="4"/>
  <c r="J88" i="4"/>
  <c r="J135" i="4"/>
  <c r="J160" i="4"/>
  <c r="J144" i="4"/>
  <c r="J170" i="4"/>
  <c r="J19" i="4"/>
  <c r="J42" i="4"/>
  <c r="J83" i="4"/>
  <c r="J120" i="4"/>
  <c r="J100" i="4"/>
  <c r="J148" i="4"/>
  <c r="J164" i="4"/>
  <c r="J63" i="4"/>
  <c r="J23" i="4"/>
  <c r="J71" i="4"/>
  <c r="J106" i="4"/>
  <c r="J138" i="4"/>
  <c r="J154" i="4"/>
  <c r="J16" i="4"/>
  <c r="J32" i="4"/>
  <c r="J48" i="4"/>
  <c r="J64" i="4"/>
  <c r="J80" i="4"/>
  <c r="J112" i="4"/>
  <c r="J128" i="4"/>
  <c r="J176" i="4"/>
  <c r="J18" i="4"/>
  <c r="J62" i="4"/>
  <c r="J139" i="4"/>
  <c r="J59" i="4"/>
  <c r="J79" i="4"/>
  <c r="J99" i="4"/>
  <c r="J115" i="4"/>
  <c r="J163" i="4"/>
  <c r="J92" i="4"/>
  <c r="J156" i="4"/>
  <c r="J34" i="4"/>
  <c r="J95" i="4"/>
  <c r="J127" i="4"/>
  <c r="J159" i="4"/>
  <c r="J82" i="4"/>
  <c r="J20" i="4"/>
  <c r="J36" i="4"/>
  <c r="J68" i="4"/>
  <c r="J180" i="4"/>
  <c r="J143" i="4"/>
  <c r="J103" i="4"/>
  <c r="J167" i="4"/>
  <c r="J7" i="4"/>
  <c r="J152" i="4"/>
  <c r="J168" i="4"/>
  <c r="J30" i="4"/>
  <c r="J50" i="4"/>
  <c r="J91" i="4"/>
  <c r="J87" i="4"/>
  <c r="J123" i="4"/>
  <c r="J155" i="4"/>
  <c r="J27" i="4"/>
  <c r="J47" i="4"/>
  <c r="J52" i="4"/>
  <c r="J84" i="4"/>
  <c r="J132" i="4"/>
  <c r="J67" i="4"/>
  <c r="J147" i="4"/>
  <c r="J104" i="4"/>
  <c r="J12" i="4"/>
  <c r="J28" i="4"/>
  <c r="J44" i="4"/>
  <c r="J60" i="4"/>
  <c r="J76" i="4"/>
  <c r="J108" i="4"/>
  <c r="J124" i="4"/>
  <c r="J172" i="4"/>
  <c r="J31" i="4"/>
  <c r="J131" i="4"/>
  <c r="J179" i="4"/>
  <c r="J75" i="4"/>
  <c r="J15" i="4"/>
  <c r="J35" i="4"/>
  <c r="J51" i="4"/>
  <c r="Q3" i="3"/>
  <c r="H4" i="4" s="1"/>
  <c r="J4" i="4" s="1"/>
  <c r="E5" i="4"/>
  <c r="Q5" i="3"/>
  <c r="H5" i="4" s="1"/>
  <c r="J5" i="4" s="1"/>
</calcChain>
</file>

<file path=xl/sharedStrings.xml><?xml version="1.0" encoding="utf-8"?>
<sst xmlns="http://schemas.openxmlformats.org/spreadsheetml/2006/main" count="1239" uniqueCount="1166">
  <si>
    <t>E006</t>
  </si>
  <si>
    <t>E026</t>
  </si>
  <si>
    <t>E032</t>
  </si>
  <si>
    <t>E033</t>
  </si>
  <si>
    <t>E034</t>
  </si>
  <si>
    <t>E059</t>
  </si>
  <si>
    <t>F100</t>
  </si>
  <si>
    <t>W001</t>
  </si>
  <si>
    <t>W003</t>
  </si>
  <si>
    <t>W004</t>
  </si>
  <si>
    <t>W006</t>
  </si>
  <si>
    <t>W008</t>
  </si>
  <si>
    <t>W063</t>
  </si>
  <si>
    <t>W065</t>
  </si>
  <si>
    <t>W068</t>
  </si>
  <si>
    <t>W100</t>
  </si>
  <si>
    <t>W103</t>
  </si>
  <si>
    <t>W130</t>
  </si>
  <si>
    <t>W165</t>
  </si>
  <si>
    <t>W169</t>
  </si>
  <si>
    <t>W182</t>
  </si>
  <si>
    <t>W196</t>
  </si>
  <si>
    <t>W202</t>
  </si>
  <si>
    <t>W204</t>
  </si>
  <si>
    <t>W207</t>
  </si>
  <si>
    <t>W209</t>
  </si>
  <si>
    <t>W212</t>
  </si>
  <si>
    <t>W220</t>
  </si>
  <si>
    <t>W222</t>
  </si>
  <si>
    <t>W227</t>
  </si>
  <si>
    <t>W228</t>
  </si>
  <si>
    <t>W229</t>
  </si>
  <si>
    <t>W233</t>
  </si>
  <si>
    <t>W238</t>
  </si>
  <si>
    <t>W241</t>
  </si>
  <si>
    <t>W242</t>
  </si>
  <si>
    <t>W243</t>
  </si>
  <si>
    <t>W244</t>
  </si>
  <si>
    <t>W246</t>
  </si>
  <si>
    <t>W247</t>
  </si>
  <si>
    <t>W250</t>
  </si>
  <si>
    <t>W255</t>
  </si>
  <si>
    <t>W258</t>
  </si>
  <si>
    <t>W260</t>
  </si>
  <si>
    <t>W263</t>
  </si>
  <si>
    <t>W266</t>
  </si>
  <si>
    <t>W269</t>
  </si>
  <si>
    <t>W271</t>
  </si>
  <si>
    <t>W275</t>
  </si>
  <si>
    <t>W283</t>
  </si>
  <si>
    <t>W284</t>
  </si>
  <si>
    <t>W285</t>
  </si>
  <si>
    <t>W287</t>
  </si>
  <si>
    <t>W290</t>
  </si>
  <si>
    <t>W291</t>
  </si>
  <si>
    <t>W300</t>
  </si>
  <si>
    <t>W301</t>
  </si>
  <si>
    <t>W302</t>
  </si>
  <si>
    <t>W305</t>
  </si>
  <si>
    <t>W312</t>
  </si>
  <si>
    <t>W314</t>
  </si>
  <si>
    <t>W315</t>
  </si>
  <si>
    <t>W316</t>
  </si>
  <si>
    <t>W319</t>
  </si>
  <si>
    <t>W320</t>
  </si>
  <si>
    <t>W321</t>
  </si>
  <si>
    <t>W323</t>
  </si>
  <si>
    <t>W330</t>
  </si>
  <si>
    <t>W331</t>
  </si>
  <si>
    <t>W332</t>
  </si>
  <si>
    <t>W333</t>
  </si>
  <si>
    <t>W336</t>
  </si>
  <si>
    <t>W338</t>
  </si>
  <si>
    <t>W341</t>
  </si>
  <si>
    <t>W345</t>
  </si>
  <si>
    <t>W346</t>
  </si>
  <si>
    <t>W347</t>
  </si>
  <si>
    <t>W348</t>
  </si>
  <si>
    <t>W349</t>
  </si>
  <si>
    <t>W351</t>
  </si>
  <si>
    <t>W352</t>
  </si>
  <si>
    <t>W353</t>
  </si>
  <si>
    <t>W354</t>
  </si>
  <si>
    <t>W355</t>
  </si>
  <si>
    <t>W356</t>
  </si>
  <si>
    <t>W359</t>
  </si>
  <si>
    <t>W361</t>
  </si>
  <si>
    <t>W362</t>
  </si>
  <si>
    <t>W363</t>
  </si>
  <si>
    <t>W366</t>
  </si>
  <si>
    <t>W367</t>
  </si>
  <si>
    <t>W368</t>
  </si>
  <si>
    <t>W370</t>
  </si>
  <si>
    <t>W374</t>
  </si>
  <si>
    <t>W376</t>
  </si>
  <si>
    <t>W378</t>
  </si>
  <si>
    <t>W380</t>
  </si>
  <si>
    <t>W383</t>
  </si>
  <si>
    <t>W384</t>
  </si>
  <si>
    <t>W385</t>
  </si>
  <si>
    <t>W388</t>
  </si>
  <si>
    <t>W391</t>
  </si>
  <si>
    <t>W392</t>
  </si>
  <si>
    <t>W393</t>
  </si>
  <si>
    <t>W394</t>
  </si>
  <si>
    <t>W395</t>
  </si>
  <si>
    <t>W398</t>
  </si>
  <si>
    <t>W399</t>
  </si>
  <si>
    <t>W400</t>
  </si>
  <si>
    <t>W401</t>
  </si>
  <si>
    <t>W402</t>
  </si>
  <si>
    <t>W403</t>
  </si>
  <si>
    <t>W404</t>
  </si>
  <si>
    <t>W405</t>
  </si>
  <si>
    <t>W406</t>
  </si>
  <si>
    <t>W407</t>
  </si>
  <si>
    <t>W408</t>
  </si>
  <si>
    <t>W409</t>
  </si>
  <si>
    <t>W410</t>
  </si>
  <si>
    <t>W411</t>
  </si>
  <si>
    <t>W412</t>
  </si>
  <si>
    <t>W413</t>
  </si>
  <si>
    <t>W416</t>
  </si>
  <si>
    <t>W417</t>
  </si>
  <si>
    <t>W419</t>
  </si>
  <si>
    <t>W420</t>
  </si>
  <si>
    <t>W421</t>
  </si>
  <si>
    <t>W422</t>
  </si>
  <si>
    <t>W423</t>
  </si>
  <si>
    <t>W424</t>
  </si>
  <si>
    <t>W425</t>
  </si>
  <si>
    <t>W426</t>
  </si>
  <si>
    <t>W427</t>
  </si>
  <si>
    <t>W428</t>
  </si>
  <si>
    <t>W429</t>
  </si>
  <si>
    <t>W430</t>
  </si>
  <si>
    <t>W431</t>
  </si>
  <si>
    <t>W432</t>
  </si>
  <si>
    <t>W433</t>
  </si>
  <si>
    <t>W434</t>
  </si>
  <si>
    <t>W435</t>
  </si>
  <si>
    <t>W436</t>
  </si>
  <si>
    <t>W437</t>
  </si>
  <si>
    <t>W438</t>
  </si>
  <si>
    <t>W439</t>
  </si>
  <si>
    <t>W440</t>
  </si>
  <si>
    <t>W441</t>
  </si>
  <si>
    <t>W442</t>
  </si>
  <si>
    <t>W443</t>
  </si>
  <si>
    <t>W444</t>
  </si>
  <si>
    <t>W445</t>
  </si>
  <si>
    <t>W446</t>
  </si>
  <si>
    <t>W447</t>
  </si>
  <si>
    <t>W448</t>
  </si>
  <si>
    <t>W449</t>
  </si>
  <si>
    <t>W450</t>
  </si>
  <si>
    <t>W451</t>
  </si>
  <si>
    <t>W452</t>
  </si>
  <si>
    <t>W453</t>
  </si>
  <si>
    <t>W454</t>
  </si>
  <si>
    <t>W455</t>
  </si>
  <si>
    <t>W456</t>
  </si>
  <si>
    <t>W457</t>
  </si>
  <si>
    <t>W458</t>
  </si>
  <si>
    <t>W459</t>
  </si>
  <si>
    <t>W460</t>
  </si>
  <si>
    <t>W461</t>
  </si>
  <si>
    <t>W462</t>
  </si>
  <si>
    <t>W463</t>
  </si>
  <si>
    <t>사업자등록번호</t>
  </si>
  <si>
    <t>앞</t>
    <phoneticPr fontId="3" type="noConversion"/>
  </si>
  <si>
    <t>중간</t>
    <phoneticPr fontId="3" type="noConversion"/>
  </si>
  <si>
    <t>세액</t>
    <phoneticPr fontId="3" type="noConversion"/>
  </si>
  <si>
    <t>계산서</t>
    <phoneticPr fontId="3" type="noConversion"/>
  </si>
  <si>
    <t>공급가액</t>
    <phoneticPr fontId="3" type="noConversion"/>
  </si>
  <si>
    <t>공급가액2</t>
    <phoneticPr fontId="3" type="noConversion"/>
  </si>
  <si>
    <t>SAP 금액</t>
    <phoneticPr fontId="3" type="noConversion"/>
  </si>
  <si>
    <t>국세청 금액</t>
    <phoneticPr fontId="3" type="noConversion"/>
  </si>
  <si>
    <t>차이 금액</t>
    <phoneticPr fontId="3" type="noConversion"/>
  </si>
  <si>
    <t>사업장</t>
    <phoneticPr fontId="3" type="noConversion"/>
  </si>
  <si>
    <t>공급가액</t>
    <phoneticPr fontId="3" type="noConversion"/>
  </si>
  <si>
    <t>세금계산서</t>
    <phoneticPr fontId="3" type="noConversion"/>
  </si>
  <si>
    <t>뒤</t>
    <phoneticPr fontId="3" type="noConversion"/>
  </si>
  <si>
    <t>공급가액</t>
    <phoneticPr fontId="3" type="noConversion"/>
  </si>
  <si>
    <t>세액</t>
    <phoneticPr fontId="3" type="noConversion"/>
  </si>
  <si>
    <t>계산서</t>
    <phoneticPr fontId="3" type="noConversion"/>
  </si>
  <si>
    <t>공급가액1</t>
    <phoneticPr fontId="3" type="noConversion"/>
  </si>
  <si>
    <t>세액1</t>
    <phoneticPr fontId="3" type="noConversion"/>
  </si>
  <si>
    <t>계산서1</t>
    <phoneticPr fontId="3" type="noConversion"/>
  </si>
  <si>
    <t>세액2</t>
    <phoneticPr fontId="3" type="noConversion"/>
  </si>
  <si>
    <t>계산서2</t>
    <phoneticPr fontId="3" type="noConversion"/>
  </si>
  <si>
    <t>세금계산서 수기업로드 진행여부</t>
    <phoneticPr fontId="3" type="noConversion"/>
  </si>
  <si>
    <t>계산서 수기업로드 진행여부</t>
    <phoneticPr fontId="3" type="noConversion"/>
  </si>
  <si>
    <t xml:space="preserve"> 차이금액</t>
    <phoneticPr fontId="3" type="noConversion"/>
  </si>
  <si>
    <t>사업장</t>
    <phoneticPr fontId="3" type="noConversion"/>
  </si>
  <si>
    <t>사업장명</t>
    <phoneticPr fontId="3" type="noConversion"/>
  </si>
  <si>
    <t>사업장</t>
  </si>
  <si>
    <t>공급가액</t>
  </si>
  <si>
    <t>세액</t>
  </si>
  <si>
    <t>사업장1</t>
  </si>
  <si>
    <t>W464</t>
  </si>
  <si>
    <t>W465</t>
  </si>
  <si>
    <t>건수</t>
  </si>
  <si>
    <t>공급가액1</t>
  </si>
  <si>
    <t>세액1</t>
  </si>
  <si>
    <t>건수1</t>
  </si>
  <si>
    <t>업로드</t>
    <phoneticPr fontId="3" type="noConversion"/>
  </si>
  <si>
    <t>2기 재확인</t>
    <phoneticPr fontId="3" type="noConversion"/>
  </si>
  <si>
    <t>세금계산서 업데이트 일자</t>
    <phoneticPr fontId="3" type="noConversion"/>
  </si>
  <si>
    <t>4,678-</t>
  </si>
  <si>
    <t>467-</t>
  </si>
  <si>
    <t>W009</t>
  </si>
  <si>
    <t>㈜이랜드이츠 압구정지점</t>
  </si>
  <si>
    <t>W014</t>
  </si>
  <si>
    <t>주식회사 이랜드이츠 외식 부평공장</t>
  </si>
  <si>
    <t>W500</t>
  </si>
  <si>
    <t>㈜이랜드이츠</t>
  </si>
  <si>
    <t>W504</t>
  </si>
  <si>
    <t>㈜이랜드이츠식품 광주공장</t>
  </si>
  <si>
    <t>W505</t>
  </si>
  <si>
    <t>㈜이랜드이츠 기흥공장</t>
  </si>
  <si>
    <t>W506</t>
  </si>
  <si>
    <t>㈜이랜드이츠 피자몰,자연별곡 홍대2호점</t>
  </si>
  <si>
    <t>w507</t>
  </si>
  <si>
    <t>㈜이랜드이츠 로운홍대점</t>
  </si>
  <si>
    <t>W508</t>
  </si>
  <si>
    <t>㈜이랜드이츠 자연별곡,피자몰 신촌점</t>
  </si>
  <si>
    <t>W509</t>
  </si>
  <si>
    <t>㈜이랜드이츠 로운신촌점</t>
  </si>
  <si>
    <t>W510</t>
  </si>
  <si>
    <t>애슐리W 2001중계점</t>
  </si>
  <si>
    <t>W511</t>
  </si>
  <si>
    <t>리미니2001중계점</t>
  </si>
  <si>
    <t>W512</t>
  </si>
  <si>
    <t>㈜이랜드이츠 애슐리W 뉴코아동수원점</t>
  </si>
  <si>
    <t>W513</t>
  </si>
  <si>
    <t>㈜이랜드이츠 애슐리W뉴코아일산점</t>
  </si>
  <si>
    <t>W514</t>
  </si>
  <si>
    <t>㈜이랜드이츠 자연별곡뉴코아일산점</t>
  </si>
  <si>
    <t>W515</t>
  </si>
  <si>
    <t>㈜이랜드이츠 리미니뉴코아일산점</t>
  </si>
  <si>
    <t>W516</t>
  </si>
  <si>
    <t>㈜이랜드이츠 프랑제리2001분당점</t>
  </si>
  <si>
    <t>W517</t>
  </si>
  <si>
    <t>㈜이랜드이츠 반궁2001분당점</t>
  </si>
  <si>
    <t>w518</t>
  </si>
  <si>
    <t>㈜이랜드이츠 리미니2001분당점</t>
  </si>
  <si>
    <t>W519</t>
  </si>
  <si>
    <t>㈜이랜드이츠 애슐리뉴코아인천점</t>
  </si>
  <si>
    <t>W521</t>
  </si>
  <si>
    <t>㈜이랜드이츠 반궁뉴코아인천점</t>
  </si>
  <si>
    <t>w522</t>
  </si>
  <si>
    <t>㈜이랜드이츠 아시아문뉴코아인천점</t>
  </si>
  <si>
    <t>W523</t>
  </si>
  <si>
    <t>㈜이랜드이츠 리미니뉴코아인천점</t>
  </si>
  <si>
    <t>W524</t>
  </si>
  <si>
    <t>㈜이랜드이츠 수사뉴코아인천점</t>
  </si>
  <si>
    <t>w525</t>
  </si>
  <si>
    <t>㈜이랜드이츠 테루뉴코아인천점</t>
  </si>
  <si>
    <t>w526</t>
  </si>
  <si>
    <t>애슐리 평촌 뉴코아 아울렛점</t>
  </si>
  <si>
    <t>W528</t>
  </si>
  <si>
    <t>㈜이랜드이츠 자연별곡 뉴코아 평촌점</t>
  </si>
  <si>
    <t>W529</t>
  </si>
  <si>
    <t>㈜이랜드이츠 뉴코아아울렛반궁평촌점</t>
  </si>
  <si>
    <t>W530</t>
  </si>
  <si>
    <t>㈜이랜드이츠 리미니 평촌아울렛점</t>
  </si>
  <si>
    <t>w531</t>
  </si>
  <si>
    <t>수사 뉴코아 평촌점</t>
  </si>
  <si>
    <t>W532</t>
  </si>
  <si>
    <t>주식회사 이랜드이츠 자연별곡뉴코아평택점</t>
  </si>
  <si>
    <t>W533</t>
  </si>
  <si>
    <t>㈜이랜드이츠 다구오 뉴코아 강남점</t>
  </si>
  <si>
    <t>W534</t>
  </si>
  <si>
    <t>주식회사 이랜드이츠 프랑제리 뉴코아 강남점</t>
  </si>
  <si>
    <t>W535</t>
  </si>
  <si>
    <t>㈜이랜드이츠 후원 뉴코아 강남점</t>
  </si>
  <si>
    <t>W536</t>
  </si>
  <si>
    <t>㈜이랜드이츠 자연별곡 뉴코아 강남점</t>
  </si>
  <si>
    <t>W537</t>
  </si>
  <si>
    <t>주식회사 이랜드이츠 반궁뉴코아 강남점</t>
  </si>
  <si>
    <t>W538</t>
  </si>
  <si>
    <t>㈜이랜드이츠 아시아문 뉴코아 강남점</t>
  </si>
  <si>
    <t>W539</t>
  </si>
  <si>
    <t>주식회사 이랜드이츠 페르케노 뉴코아 강남점</t>
  </si>
  <si>
    <t>W540</t>
  </si>
  <si>
    <t>㈜이랜드이츠 피자몰뉴코아 강남점</t>
  </si>
  <si>
    <t>W541</t>
  </si>
  <si>
    <t>㈜이랜드이츠 리미니 뉴코아강남점</t>
  </si>
  <si>
    <t>W542</t>
  </si>
  <si>
    <t>㈜이랜드이츠 로운 뉴코아 강남점</t>
  </si>
  <si>
    <t>W543</t>
  </si>
  <si>
    <t>㈜이랜드이츠 수사 뉴코아 강남점</t>
  </si>
  <si>
    <t>W544</t>
  </si>
  <si>
    <t>주식회사 이랜드이츠 더카페뉴코아 강남점3층</t>
  </si>
  <si>
    <t>w546</t>
  </si>
  <si>
    <t>주식회사 이랜드이츠 테루뉴코아 강남점</t>
  </si>
  <si>
    <t>w547</t>
  </si>
  <si>
    <t>㈜이랜드이츠 애슐리W NC야탑점</t>
  </si>
  <si>
    <t>W548</t>
  </si>
  <si>
    <t>㈜이랜드이츠 프랑제리 NC야탑점</t>
  </si>
  <si>
    <t>W549</t>
  </si>
  <si>
    <t>㈜이랜드이츠 후원NC야탑점</t>
  </si>
  <si>
    <t>W550</t>
  </si>
  <si>
    <t>㈜이랜드이츠 반궁 엔씨 야탑점</t>
  </si>
  <si>
    <t>W551</t>
  </si>
  <si>
    <t>리미니NC야탑점</t>
  </si>
  <si>
    <t>W552</t>
  </si>
  <si>
    <t>주식회사 이랜드이츠 애슐리W NC순천점</t>
  </si>
  <si>
    <t>W553</t>
  </si>
  <si>
    <t>㈜이랜드이츠 애슐리클래식뉴코아울산점</t>
  </si>
  <si>
    <t>w555</t>
  </si>
  <si>
    <t>㈜이랜드이츠 애슐리클래식 뉴코아창원점</t>
  </si>
  <si>
    <t>W556</t>
  </si>
  <si>
    <t>애슐리W NC 해운대점</t>
  </si>
  <si>
    <t>W559</t>
  </si>
  <si>
    <t>리미니 NC 해운대점</t>
  </si>
  <si>
    <t>W560</t>
  </si>
  <si>
    <t>로운 NC해운대점</t>
  </si>
  <si>
    <t>W562</t>
  </si>
  <si>
    <t>㈜이랜드이츠 애슐리클래식 홈플러스 신도림점</t>
  </si>
  <si>
    <t>W563</t>
  </si>
  <si>
    <t>㈜이랜드이츠 애슐리클래식 홈플러스 중계점</t>
  </si>
  <si>
    <t>W564</t>
  </si>
  <si>
    <t>㈜이랜드이츠(리미니 홈플러스 월드컵점)</t>
  </si>
  <si>
    <t>W565</t>
  </si>
  <si>
    <t>㈜이랜드이츠 애슐리W홈플러스 유성점</t>
  </si>
  <si>
    <t>W568</t>
  </si>
  <si>
    <t>㈜이랜드이츠 애슐리클래식 홈플러스인하점</t>
  </si>
  <si>
    <t>W569</t>
  </si>
  <si>
    <t>주식회사 이랜드이츠 애슐리클래식 홈플러스 순천점</t>
  </si>
  <si>
    <t>W570</t>
  </si>
  <si>
    <t>㈜이랜드이츠 애슐리클래식홈플러스청주점</t>
  </si>
  <si>
    <t>W571</t>
  </si>
  <si>
    <t>애슐리클래식홈플러스문화점</t>
  </si>
  <si>
    <t>W573</t>
  </si>
  <si>
    <t>㈜이랜드이츠 자연별곡 산본점</t>
  </si>
  <si>
    <t>W574</t>
  </si>
  <si>
    <t>애슐리WNC안산고잔점</t>
  </si>
  <si>
    <t>W575</t>
  </si>
  <si>
    <t>㈜이랜드이츠(반궁NC안산고잔점)</t>
  </si>
  <si>
    <t>W576</t>
  </si>
  <si>
    <t>㈜이랜드이츠 아시아문 NC안산고잔점</t>
  </si>
  <si>
    <t>W577</t>
  </si>
  <si>
    <t>㈜이랜드이츠 리미니 NC안산고잔점</t>
  </si>
  <si>
    <t>W578</t>
  </si>
  <si>
    <t>이랜드이츠 후원 2001철산</t>
  </si>
  <si>
    <t>W580</t>
  </si>
  <si>
    <t>㈜이랜드이츠 애슐리클래식2001철산점</t>
  </si>
  <si>
    <t>W581</t>
  </si>
  <si>
    <t>㈜이랜드이츠 가산재능점</t>
  </si>
  <si>
    <t>W584</t>
  </si>
  <si>
    <t>애슐리W 뉴코아 강남점</t>
  </si>
  <si>
    <t>W585</t>
  </si>
  <si>
    <t>㈜이랜드이츠 애슐리홈플러스간석점</t>
  </si>
  <si>
    <t>W586</t>
  </si>
  <si>
    <t>㈜이랜드이츠 애슐리W홈플러스 둔산점</t>
  </si>
  <si>
    <t>W587</t>
  </si>
  <si>
    <t>㈜이랜드이츠 애슐리퀸즈 뉴코아 부천점</t>
  </si>
  <si>
    <t>W588</t>
  </si>
  <si>
    <t xml:space="preserve">㈜이랜드이츠 다구오 뉴코아부천점 </t>
  </si>
  <si>
    <t>W589</t>
  </si>
  <si>
    <t xml:space="preserve">㈜이랜드이츠 후원 뉴코아부천점 </t>
  </si>
  <si>
    <t>W590</t>
  </si>
  <si>
    <t>㈜이랜드이츠 반궁 뉴코아 부천점</t>
  </si>
  <si>
    <t>W591</t>
  </si>
  <si>
    <t>㈜이랜드이츠  피자몰 부천 뉴코아</t>
  </si>
  <si>
    <t>W592</t>
  </si>
  <si>
    <t>㈜이랜드이츠 리미니 뉴코아 부천점</t>
  </si>
  <si>
    <t>W593</t>
  </si>
  <si>
    <t>㈜이랜드이츠 수사뉴코아부천점</t>
  </si>
  <si>
    <t>W594</t>
  </si>
  <si>
    <t>㈜이랜드이츠 테루 뉴코아 부천</t>
  </si>
  <si>
    <t>W595</t>
  </si>
  <si>
    <t>㈜이랜드이츠 애슐리강릉옥천점</t>
  </si>
  <si>
    <t>W596</t>
  </si>
  <si>
    <t>㈜이랜드이츠 애슐리W강변점</t>
  </si>
  <si>
    <t>W597</t>
  </si>
  <si>
    <t>㈜이랜드이츠 애슐리 건대스타시티점</t>
  </si>
  <si>
    <t>W598</t>
  </si>
  <si>
    <t>㈜이랜드이츠 애슐리클래식홈플러스구미점</t>
  </si>
  <si>
    <t>W599</t>
  </si>
  <si>
    <t>㈜이랜드이츠(자연별곡홈플러춘천점)</t>
  </si>
  <si>
    <t>W600</t>
  </si>
  <si>
    <t>㈜이랜드이츠 애슐리클래식홈플러스춘천점</t>
  </si>
  <si>
    <t>W601</t>
  </si>
  <si>
    <t>애슐리클래식 부평아이즈빌점</t>
  </si>
  <si>
    <t>W603</t>
  </si>
  <si>
    <t>㈜이랜드이츠 애슐리W 뉴코아덕천점</t>
  </si>
  <si>
    <t>W604</t>
  </si>
  <si>
    <t>㈜이랜드이츠 프랑제리 NC 송파</t>
  </si>
  <si>
    <t>W606</t>
  </si>
  <si>
    <t xml:space="preserve">리미니 NC 송파점 </t>
  </si>
  <si>
    <t>W607</t>
  </si>
  <si>
    <t>(주)이랜드이츠 애슐리W NC송파점</t>
  </si>
  <si>
    <t>W609</t>
  </si>
  <si>
    <t>㈜이랜드이츠 자연별곡NC송파점</t>
  </si>
  <si>
    <t>W610</t>
  </si>
  <si>
    <t>㈜이랜드이츠 리미니NC송파점7층</t>
  </si>
  <si>
    <t>W611</t>
  </si>
  <si>
    <t>주식회사 이랜드이츠 수사NC송파점</t>
  </si>
  <si>
    <t>W612</t>
  </si>
  <si>
    <t>㈜이랜드이츠 루고 NC 송파점</t>
  </si>
  <si>
    <t>W614</t>
  </si>
  <si>
    <t>㈜이랜드이츠 후원뉴코아인천점</t>
  </si>
  <si>
    <t>W615</t>
  </si>
  <si>
    <t>㈜이랜드이츠 자연별곡뉴코아인천논현점</t>
  </si>
  <si>
    <t>W617</t>
  </si>
  <si>
    <t>㈜이랜드이츠 수사뉴코아인천논현</t>
  </si>
  <si>
    <t>W619</t>
  </si>
  <si>
    <t>㈜이랜드이츠 롯데마트 대구율하점</t>
  </si>
  <si>
    <t>W620</t>
  </si>
  <si>
    <t>주식회사 이랜드이츠 애슐리클래식홈플러스대구성서점</t>
  </si>
  <si>
    <t>W624</t>
  </si>
  <si>
    <t>애슐리더블유지에스전주점</t>
  </si>
  <si>
    <t>W625</t>
  </si>
  <si>
    <t>애슐리W서울대입구</t>
  </si>
  <si>
    <t>W626</t>
  </si>
  <si>
    <t>애술리갤러리아센터시티</t>
  </si>
  <si>
    <t>W627</t>
  </si>
  <si>
    <t>㈜이랜드이츠 애슐리대구동아쇼핑</t>
  </si>
  <si>
    <t>W628</t>
  </si>
  <si>
    <t>㈜이랜드이츠 자연별곡동아쇼핑점</t>
  </si>
  <si>
    <t>W629</t>
  </si>
  <si>
    <t>㈜이랜드이츠 후원 뉴코아모란점</t>
  </si>
  <si>
    <t>W631</t>
  </si>
  <si>
    <t>리미니 뉴코아 모란점</t>
  </si>
  <si>
    <t>W632</t>
  </si>
  <si>
    <t>㈜이랜드이츠 가산월드점</t>
  </si>
  <si>
    <t>W633</t>
  </si>
  <si>
    <t>㈜이랜드이츠 애슐리W동탄메타폴리스점</t>
  </si>
  <si>
    <t>W634</t>
  </si>
  <si>
    <t>㈜이랜드이츠 애슐리클래식롯데마트제주점</t>
  </si>
  <si>
    <t>W635</t>
  </si>
  <si>
    <t>㈜이랜드이츠 더카페 인하대점</t>
  </si>
  <si>
    <t>W636</t>
  </si>
  <si>
    <t>㈜이랜드이츠 애슐리W광주유스퀘어점</t>
  </si>
  <si>
    <t>W637</t>
  </si>
  <si>
    <t>자연별곡 광주유스퀘어점</t>
  </si>
  <si>
    <t>W638</t>
  </si>
  <si>
    <t>애슐리W 신촌점</t>
  </si>
  <si>
    <t>W639</t>
  </si>
  <si>
    <t>㈜이랜드이츠 애슐리W목동행복한세상</t>
  </si>
  <si>
    <t>W641</t>
  </si>
  <si>
    <t>주식회사 이랜드이츠 애슐리 강서NC점</t>
  </si>
  <si>
    <t>W643</t>
  </si>
  <si>
    <t>주식회사 이랜드이츠(후원NC강서점)</t>
  </si>
  <si>
    <t>W644</t>
  </si>
  <si>
    <t>자연별곡 NC강서점</t>
  </si>
  <si>
    <t>W645</t>
  </si>
  <si>
    <t>주식회사 이랜드이츠 반궁NC강서점</t>
  </si>
  <si>
    <t>W654</t>
  </si>
  <si>
    <t>㈜이랜드이츠 애슐리W NC부산대점</t>
  </si>
  <si>
    <t>W656</t>
  </si>
  <si>
    <t>㈜이랜드이츠 아시아문NC부산대점</t>
  </si>
  <si>
    <t>W657</t>
  </si>
  <si>
    <t>더카페한림병원점(직영)</t>
  </si>
  <si>
    <t>W660</t>
  </si>
  <si>
    <t>㈜이랜드이츠 애슐리클랙식홈플러스인천연수점</t>
  </si>
  <si>
    <t>W661</t>
  </si>
  <si>
    <t>㈜이랜드이츠 애슐리W군산수송점</t>
  </si>
  <si>
    <t>W662</t>
  </si>
  <si>
    <t>애슐리W 강남2호점</t>
  </si>
  <si>
    <t>W663</t>
  </si>
  <si>
    <t>㈜이랜드이츠 애슐리클래식 뉴코아괴정점</t>
  </si>
  <si>
    <t>W664</t>
  </si>
  <si>
    <t>애슐리W잠실롯데케슬점</t>
  </si>
  <si>
    <t>W665</t>
  </si>
  <si>
    <t>애슐리W 종각역점</t>
  </si>
  <si>
    <t>W666</t>
  </si>
  <si>
    <t>㈜이랜드이츠 리미니 가양이마트</t>
  </si>
  <si>
    <t>W667</t>
  </si>
  <si>
    <t>애슐리W뉴코아평택점</t>
  </si>
  <si>
    <t>W670</t>
  </si>
  <si>
    <t>주식회사이랜드이츠 애슐리W NC충장점</t>
  </si>
  <si>
    <t>W672</t>
  </si>
  <si>
    <t>애슐리W 홈플러스 인천청라점</t>
  </si>
  <si>
    <t>W673</t>
  </si>
  <si>
    <t>(주)이랜드이츠 애슐리W김해외동점</t>
  </si>
  <si>
    <t>W675</t>
  </si>
  <si>
    <t>애슐리W대구이월드점</t>
  </si>
  <si>
    <t>W676</t>
  </si>
  <si>
    <t>㈜이랜드이츠외식대구이월드점</t>
  </si>
  <si>
    <t>W677</t>
  </si>
  <si>
    <t>주식회사 이랜드이츠(리미니대구83타워점)</t>
  </si>
  <si>
    <t>W679</t>
  </si>
  <si>
    <t>㈜이랜드이츠 애슐리W청주지웰시티점</t>
  </si>
  <si>
    <t>W680</t>
  </si>
  <si>
    <t>애슐리W홈플러스 상봉점</t>
  </si>
  <si>
    <t>W681</t>
  </si>
  <si>
    <t>주식회사 이랜드이츠 자연별곡NC 광주역점</t>
  </si>
  <si>
    <t>W682</t>
  </si>
  <si>
    <t>애슐리W 아산터미널점</t>
  </si>
  <si>
    <t>W683</t>
  </si>
  <si>
    <t>리미니 아산터미널점</t>
  </si>
  <si>
    <t>W684</t>
  </si>
  <si>
    <t>㈜이랜드이츠 애슐리클래식 홈플러스 김포풍무점</t>
  </si>
  <si>
    <t>W686</t>
  </si>
  <si>
    <t>㈜이랜드이츠 애슐리 동성로점</t>
  </si>
  <si>
    <t>W687</t>
  </si>
  <si>
    <t>㈜이랜드이츠 자연별곡 동성로점</t>
  </si>
  <si>
    <t>W689</t>
  </si>
  <si>
    <t>㈜이랜드이츠 애슐리W 미금역점</t>
  </si>
  <si>
    <t>W690</t>
  </si>
  <si>
    <t>㈜이랜드이츠 수사 미금역점</t>
  </si>
  <si>
    <t>W691</t>
  </si>
  <si>
    <t>㈜이랜드이츠 애슐리W NC이천점</t>
  </si>
  <si>
    <t>W692</t>
  </si>
  <si>
    <t>㈜이랜드이츠 자연별곡NC이천점</t>
  </si>
  <si>
    <t>W693</t>
  </si>
  <si>
    <t>㈜이랜드이츠 애슐리W중앙로역점</t>
  </si>
  <si>
    <t>W694</t>
  </si>
  <si>
    <t>㈜이랜드이츠 자연별곡NC중앙로역점</t>
  </si>
  <si>
    <t>W696</t>
  </si>
  <si>
    <t>자연별곡목동점</t>
  </si>
  <si>
    <t>W697</t>
  </si>
  <si>
    <t>㈜이랜드이츠 수사목동점</t>
  </si>
  <si>
    <t>W698</t>
  </si>
  <si>
    <t>㈜이랜드이츠 수원망포점</t>
  </si>
  <si>
    <t>W699</t>
  </si>
  <si>
    <t>㈜이랜드이츠 자연별곡 수원망포점</t>
  </si>
  <si>
    <t>W700</t>
  </si>
  <si>
    <t>㈜이랜드이츠 애슐리더블유전주에스티에스점</t>
  </si>
  <si>
    <t>W701</t>
  </si>
  <si>
    <t>㈜이랜드이츠 애슐리W 구로지밸리몰점</t>
  </si>
  <si>
    <t>W702</t>
  </si>
  <si>
    <t>주식회사이랜드이츠 애슐리천안터미널점</t>
  </si>
  <si>
    <t>W704</t>
  </si>
  <si>
    <t>㈜이랜드이츠 자연별곡 오리점</t>
  </si>
  <si>
    <t>W705</t>
  </si>
  <si>
    <t>㈜이랜드이츠 애슐리W 홈플러스세종점</t>
  </si>
  <si>
    <t>W706</t>
  </si>
  <si>
    <t>(주)이랜드이츠 자연별곡 강남역점</t>
  </si>
  <si>
    <t>W707</t>
  </si>
  <si>
    <t>㈜이랜드이츠자연별곡 경성대점</t>
  </si>
  <si>
    <t>W708</t>
  </si>
  <si>
    <t>㈜이랜드이츠 피자몰경성대점</t>
  </si>
  <si>
    <t>W709</t>
  </si>
  <si>
    <t>페어링6 압구정점</t>
  </si>
  <si>
    <t>W710</t>
  </si>
  <si>
    <t>자연별곡 한양대점</t>
  </si>
  <si>
    <t>W711</t>
  </si>
  <si>
    <t>㈜이랜드이츠 자연별곡 서울대입구점</t>
  </si>
  <si>
    <t>W713</t>
  </si>
  <si>
    <t>㈜이랜드이츠 후원NC수원터미널점</t>
  </si>
  <si>
    <t>W714</t>
  </si>
  <si>
    <t>㈜이랜드이츠 자연별곡 NC수원터미널점</t>
  </si>
  <si>
    <t>W715</t>
  </si>
  <si>
    <t>㈜이랜드이츠 피자몰NC수원터미널</t>
  </si>
  <si>
    <t>W717</t>
  </si>
  <si>
    <t>㈜이랜드이츠 애슐리W NC수원터미널점</t>
  </si>
  <si>
    <t>W718</t>
  </si>
  <si>
    <t>㈜이랜드이츠 테루NC수원터미널점</t>
  </si>
  <si>
    <t>W720</t>
  </si>
  <si>
    <t>㈜이랜드이츠애슐리W 포항점</t>
  </si>
  <si>
    <t>W722</t>
  </si>
  <si>
    <t>㈜이랜드이츠 피자몰 신천점</t>
  </si>
  <si>
    <t>W723</t>
  </si>
  <si>
    <t>자연별곡 구리점</t>
  </si>
  <si>
    <t>W724</t>
  </si>
  <si>
    <t>㈜이랜드이츠 애슐리W 일산대화점</t>
  </si>
  <si>
    <t>W725</t>
  </si>
  <si>
    <t>㈜이랜드이츠 자연별곡 일산 대화점</t>
  </si>
  <si>
    <t>W726</t>
  </si>
  <si>
    <t>㈜이랜드이츠 로운 일산대화점</t>
  </si>
  <si>
    <t>W727</t>
  </si>
  <si>
    <t>㈜이랜드이츠 애슐리퀸즈엔씨서면점</t>
  </si>
  <si>
    <t>W728</t>
  </si>
  <si>
    <t>㈜이랜드이츠 다구오엔씨 서면점</t>
  </si>
  <si>
    <t>W730</t>
  </si>
  <si>
    <t>㈜이랜드이츠 자연별곡엔씨서면점</t>
  </si>
  <si>
    <t>W731</t>
  </si>
  <si>
    <t>㈜이랜드이츠 피자몰엔씨서면점</t>
  </si>
  <si>
    <t>W732</t>
  </si>
  <si>
    <t>로운엔씨서면점</t>
  </si>
  <si>
    <t>W734</t>
  </si>
  <si>
    <t>테루엔씨 서면점</t>
  </si>
  <si>
    <t>W735</t>
  </si>
  <si>
    <t>주식회사 이랜드이츠 자연별곡 NC순천점</t>
  </si>
  <si>
    <t>W740</t>
  </si>
  <si>
    <t xml:space="preserve">㈜이랜드이츠 자연별곡 마산터미널점 </t>
  </si>
  <si>
    <t>W741</t>
  </si>
  <si>
    <t>자연별곡 홈플러스 잠실점</t>
  </si>
  <si>
    <t>W742</t>
  </si>
  <si>
    <t>애슐리W 미아사거리역점</t>
  </si>
  <si>
    <t>W743</t>
  </si>
  <si>
    <t>㈜이랜드이츠 피자몰 미아사거리역점</t>
  </si>
  <si>
    <t>W744</t>
  </si>
  <si>
    <t>㈜이랜드이츠 수사 미아사거리역점</t>
  </si>
  <si>
    <t>W745</t>
  </si>
  <si>
    <t>자연별곡 NC경산점</t>
  </si>
  <si>
    <t>W747</t>
  </si>
  <si>
    <t>㈜이랜드이츠 피자몰엔씨전주점</t>
  </si>
  <si>
    <t>W748</t>
  </si>
  <si>
    <t>㈜이랜드이츠 수사엔씨전주점</t>
  </si>
  <si>
    <t>W749</t>
  </si>
  <si>
    <t>㈜이랜드이츠 자연별곡엔씨전주점</t>
  </si>
  <si>
    <t>W750</t>
  </si>
  <si>
    <t>㈜이랜드이츠 로운 롯데백화점대구점</t>
  </si>
  <si>
    <t>W751</t>
  </si>
  <si>
    <t>애슐리W롯데백화점 청량리점</t>
  </si>
  <si>
    <t>W752</t>
  </si>
  <si>
    <t>㈜이랜드이츠 로운 롯데백화점 청량리점</t>
  </si>
  <si>
    <t>W753</t>
  </si>
  <si>
    <t>자연별곡 인천청라점</t>
  </si>
  <si>
    <t>W754</t>
  </si>
  <si>
    <t>㈜이랜드이츠 애슐리W 홈플러스 익산점</t>
  </si>
  <si>
    <t>W755</t>
  </si>
  <si>
    <t>㈜이랜드이츠 애슐리W 한양대점</t>
  </si>
  <si>
    <t>W756</t>
  </si>
  <si>
    <t>애슐리W 부평역점</t>
  </si>
  <si>
    <t>W757</t>
  </si>
  <si>
    <t>㈜이랜드이츠 애슐리W 의정부역점</t>
  </si>
  <si>
    <t>W758</t>
  </si>
  <si>
    <t>㈜이랜드이츠 자연별곡 의정부역점</t>
  </si>
  <si>
    <t>W759</t>
  </si>
  <si>
    <t>㈜이랜드이츠 수사 의정부역점</t>
  </si>
  <si>
    <t>W760</t>
  </si>
  <si>
    <t>애슐리 퀸즈 잠실점</t>
  </si>
  <si>
    <t>W761</t>
  </si>
  <si>
    <t>자연별곡 잠실웰빙점</t>
  </si>
  <si>
    <t>W762</t>
  </si>
  <si>
    <t>㈜이랜드이츠 로운 잠실웰빙점</t>
  </si>
  <si>
    <t>W763</t>
  </si>
  <si>
    <t>㈜이랜드이츠 수사잠실웰빙점</t>
  </si>
  <si>
    <t>W767</t>
  </si>
  <si>
    <t>㈜이랜드이츠 더카페 상계백병원점</t>
  </si>
  <si>
    <t>W768</t>
  </si>
  <si>
    <t>㈜이랜드이츠 애슐리W 김포한강점</t>
  </si>
  <si>
    <t>W769</t>
  </si>
  <si>
    <t>피자몰 강남역점</t>
  </si>
  <si>
    <t>W770</t>
  </si>
  <si>
    <t>㈜이랜드이츠 애슐리W 거제점</t>
  </si>
  <si>
    <t>W771</t>
  </si>
  <si>
    <t>㈜이랜드이츠 피자몰 울산점</t>
  </si>
  <si>
    <t>W772</t>
  </si>
  <si>
    <t>로운 롯데마트 금천점</t>
  </si>
  <si>
    <t>W773</t>
  </si>
  <si>
    <t>㈜이랜드이츠 애슐리W롯데산본점</t>
  </si>
  <si>
    <t>W774</t>
  </si>
  <si>
    <t>푸드폴리탄 서초점</t>
  </si>
  <si>
    <t>W775</t>
  </si>
  <si>
    <t>애슐리 W롯데수지점</t>
  </si>
  <si>
    <t>W776</t>
  </si>
  <si>
    <t>애슐리 W 옥길 스타필드</t>
  </si>
  <si>
    <t>W777</t>
  </si>
  <si>
    <t>애슐리홈뷔페 가산점</t>
  </si>
  <si>
    <t>W778</t>
  </si>
  <si>
    <t>리미니 청주NC점</t>
  </si>
  <si>
    <t>W779</t>
  </si>
  <si>
    <t>애슐리 청추NC</t>
  </si>
  <si>
    <t>W780</t>
  </si>
  <si>
    <t>다구오 가든파이브</t>
  </si>
  <si>
    <t>W781</t>
  </si>
  <si>
    <t>피자몰 부산하단점</t>
  </si>
  <si>
    <t>W782</t>
  </si>
  <si>
    <t>스테이크어스 고잔</t>
  </si>
  <si>
    <t>W783</t>
  </si>
  <si>
    <t>스테이크어스 강서</t>
  </si>
  <si>
    <t>W784</t>
  </si>
  <si>
    <t>피자몰 광주 충장 NC점</t>
  </si>
  <si>
    <t>W785</t>
  </si>
  <si>
    <t>스테이크어스 건대점</t>
  </si>
  <si>
    <t>W786</t>
  </si>
  <si>
    <t>애슐리 퀸즈 계양 롯데</t>
  </si>
  <si>
    <t>W787</t>
  </si>
  <si>
    <t>리미니 산본점</t>
  </si>
  <si>
    <t>W788</t>
  </si>
  <si>
    <t>스테이크어스 롯데 광복점</t>
  </si>
  <si>
    <t>W789</t>
  </si>
  <si>
    <t>애슐리퀸즈 김포공항 롯데백화점</t>
  </si>
  <si>
    <t>W790</t>
  </si>
  <si>
    <t>애슐리 롯데몰 은평점</t>
  </si>
  <si>
    <t>W791</t>
  </si>
  <si>
    <t>애슐리 퀸즈 월계점</t>
  </si>
  <si>
    <t>W792</t>
  </si>
  <si>
    <t>애슐리 퀸즈 송도점</t>
  </si>
  <si>
    <t>W793</t>
  </si>
  <si>
    <t>스테이크어스 현대미아점</t>
  </si>
  <si>
    <t>W794</t>
  </si>
  <si>
    <t>애슐리퀸즈 구로점</t>
  </si>
  <si>
    <t>W795</t>
  </si>
  <si>
    <t xml:space="preserve">리미니NC구로점 </t>
  </si>
  <si>
    <t>W796</t>
  </si>
  <si>
    <t>스테이크어스 울산 현대백화점</t>
  </si>
  <si>
    <t>W797</t>
  </si>
  <si>
    <t>피자몰 회기역점</t>
  </si>
  <si>
    <t>W798</t>
  </si>
  <si>
    <t>스테이크어스 현대 목동점</t>
  </si>
  <si>
    <t>W009</t>
    <phoneticPr fontId="3" type="noConversion"/>
  </si>
  <si>
    <t>W014</t>
    <phoneticPr fontId="3" type="noConversion"/>
  </si>
  <si>
    <t>W009</t>
    <phoneticPr fontId="3" type="noConversion"/>
  </si>
  <si>
    <t>W014</t>
    <phoneticPr fontId="3" type="noConversion"/>
  </si>
  <si>
    <t>W504</t>
    <phoneticPr fontId="3" type="noConversion"/>
  </si>
  <si>
    <t>W505</t>
    <phoneticPr fontId="3" type="noConversion"/>
  </si>
  <si>
    <t>W506</t>
    <phoneticPr fontId="3" type="noConversion"/>
  </si>
  <si>
    <t>w507</t>
    <phoneticPr fontId="3" type="noConversion"/>
  </si>
  <si>
    <t>W508</t>
    <phoneticPr fontId="3" type="noConversion"/>
  </si>
  <si>
    <t>W509</t>
    <phoneticPr fontId="3" type="noConversion"/>
  </si>
  <si>
    <t>W510</t>
    <phoneticPr fontId="3" type="noConversion"/>
  </si>
  <si>
    <t>W511</t>
    <phoneticPr fontId="3" type="noConversion"/>
  </si>
  <si>
    <t>W512</t>
    <phoneticPr fontId="3" type="noConversion"/>
  </si>
  <si>
    <t>W513</t>
    <phoneticPr fontId="3" type="noConversion"/>
  </si>
  <si>
    <t>W514</t>
    <phoneticPr fontId="3" type="noConversion"/>
  </si>
  <si>
    <t>W515</t>
    <phoneticPr fontId="3" type="noConversion"/>
  </si>
  <si>
    <t>W516</t>
    <phoneticPr fontId="3" type="noConversion"/>
  </si>
  <si>
    <t>W517</t>
    <phoneticPr fontId="3" type="noConversion"/>
  </si>
  <si>
    <t>w518</t>
    <phoneticPr fontId="3" type="noConversion"/>
  </si>
  <si>
    <t>W519</t>
    <phoneticPr fontId="3" type="noConversion"/>
  </si>
  <si>
    <t>W521</t>
    <phoneticPr fontId="3" type="noConversion"/>
  </si>
  <si>
    <t>w522</t>
    <phoneticPr fontId="3" type="noConversion"/>
  </si>
  <si>
    <t>W523</t>
    <phoneticPr fontId="3" type="noConversion"/>
  </si>
  <si>
    <t>W524</t>
    <phoneticPr fontId="3" type="noConversion"/>
  </si>
  <si>
    <t>w525</t>
    <phoneticPr fontId="3" type="noConversion"/>
  </si>
  <si>
    <t>w526</t>
    <phoneticPr fontId="3" type="noConversion"/>
  </si>
  <si>
    <t>W528</t>
    <phoneticPr fontId="3" type="noConversion"/>
  </si>
  <si>
    <t>W529</t>
    <phoneticPr fontId="3" type="noConversion"/>
  </si>
  <si>
    <t>W530</t>
    <phoneticPr fontId="3" type="noConversion"/>
  </si>
  <si>
    <t>w531</t>
    <phoneticPr fontId="3" type="noConversion"/>
  </si>
  <si>
    <t>W532</t>
    <phoneticPr fontId="3" type="noConversion"/>
  </si>
  <si>
    <t>W533</t>
    <phoneticPr fontId="3" type="noConversion"/>
  </si>
  <si>
    <t>W534</t>
    <phoneticPr fontId="3" type="noConversion"/>
  </si>
  <si>
    <t>W535</t>
    <phoneticPr fontId="3" type="noConversion"/>
  </si>
  <si>
    <t>W536</t>
    <phoneticPr fontId="3" type="noConversion"/>
  </si>
  <si>
    <t>W537</t>
    <phoneticPr fontId="3" type="noConversion"/>
  </si>
  <si>
    <t>W538</t>
    <phoneticPr fontId="3" type="noConversion"/>
  </si>
  <si>
    <t>W539</t>
    <phoneticPr fontId="3" type="noConversion"/>
  </si>
  <si>
    <t>W540</t>
    <phoneticPr fontId="3" type="noConversion"/>
  </si>
  <si>
    <t>W541</t>
    <phoneticPr fontId="3" type="noConversion"/>
  </si>
  <si>
    <t>W542</t>
    <phoneticPr fontId="3" type="noConversion"/>
  </si>
  <si>
    <t>W543</t>
    <phoneticPr fontId="3" type="noConversion"/>
  </si>
  <si>
    <t>W544</t>
    <phoneticPr fontId="3" type="noConversion"/>
  </si>
  <si>
    <t>w546</t>
    <phoneticPr fontId="3" type="noConversion"/>
  </si>
  <si>
    <t>w547</t>
    <phoneticPr fontId="3" type="noConversion"/>
  </si>
  <si>
    <t>W548</t>
    <phoneticPr fontId="3" type="noConversion"/>
  </si>
  <si>
    <t>W549</t>
    <phoneticPr fontId="3" type="noConversion"/>
  </si>
  <si>
    <t>W550</t>
    <phoneticPr fontId="3" type="noConversion"/>
  </si>
  <si>
    <t>W551</t>
    <phoneticPr fontId="3" type="noConversion"/>
  </si>
  <si>
    <t>W552</t>
    <phoneticPr fontId="3" type="noConversion"/>
  </si>
  <si>
    <t>W553</t>
    <phoneticPr fontId="3" type="noConversion"/>
  </si>
  <si>
    <t>w555</t>
    <phoneticPr fontId="3" type="noConversion"/>
  </si>
  <si>
    <t>W556</t>
    <phoneticPr fontId="3" type="noConversion"/>
  </si>
  <si>
    <t>W559</t>
    <phoneticPr fontId="3" type="noConversion"/>
  </si>
  <si>
    <t>W560</t>
    <phoneticPr fontId="3" type="noConversion"/>
  </si>
  <si>
    <t>W562</t>
    <phoneticPr fontId="3" type="noConversion"/>
  </si>
  <si>
    <t>W563</t>
    <phoneticPr fontId="3" type="noConversion"/>
  </si>
  <si>
    <t>W564</t>
    <phoneticPr fontId="3" type="noConversion"/>
  </si>
  <si>
    <t>W565</t>
    <phoneticPr fontId="3" type="noConversion"/>
  </si>
  <si>
    <t>W568</t>
    <phoneticPr fontId="3" type="noConversion"/>
  </si>
  <si>
    <t>W569</t>
    <phoneticPr fontId="3" type="noConversion"/>
  </si>
  <si>
    <t>W570</t>
    <phoneticPr fontId="3" type="noConversion"/>
  </si>
  <si>
    <t>W571</t>
    <phoneticPr fontId="3" type="noConversion"/>
  </si>
  <si>
    <t>W573</t>
    <phoneticPr fontId="3" type="noConversion"/>
  </si>
  <si>
    <t>W574</t>
    <phoneticPr fontId="3" type="noConversion"/>
  </si>
  <si>
    <t>W575</t>
    <phoneticPr fontId="3" type="noConversion"/>
  </si>
  <si>
    <t>W576</t>
    <phoneticPr fontId="3" type="noConversion"/>
  </si>
  <si>
    <t>W577</t>
    <phoneticPr fontId="3" type="noConversion"/>
  </si>
  <si>
    <t>W578</t>
    <phoneticPr fontId="3" type="noConversion"/>
  </si>
  <si>
    <t>W580</t>
    <phoneticPr fontId="3" type="noConversion"/>
  </si>
  <si>
    <t>W581</t>
    <phoneticPr fontId="3" type="noConversion"/>
  </si>
  <si>
    <t>W584</t>
    <phoneticPr fontId="3" type="noConversion"/>
  </si>
  <si>
    <t>W585</t>
    <phoneticPr fontId="3" type="noConversion"/>
  </si>
  <si>
    <t>W586</t>
    <phoneticPr fontId="3" type="noConversion"/>
  </si>
  <si>
    <t>W587</t>
    <phoneticPr fontId="3" type="noConversion"/>
  </si>
  <si>
    <t>W588</t>
    <phoneticPr fontId="3" type="noConversion"/>
  </si>
  <si>
    <t>W589</t>
    <phoneticPr fontId="3" type="noConversion"/>
  </si>
  <si>
    <t>W590</t>
    <phoneticPr fontId="3" type="noConversion"/>
  </si>
  <si>
    <t>W591</t>
    <phoneticPr fontId="3" type="noConversion"/>
  </si>
  <si>
    <t>W592</t>
    <phoneticPr fontId="3" type="noConversion"/>
  </si>
  <si>
    <t>W593</t>
    <phoneticPr fontId="3" type="noConversion"/>
  </si>
  <si>
    <t>W594</t>
    <phoneticPr fontId="3" type="noConversion"/>
  </si>
  <si>
    <t>W595</t>
    <phoneticPr fontId="3" type="noConversion"/>
  </si>
  <si>
    <t>W596</t>
    <phoneticPr fontId="3" type="noConversion"/>
  </si>
  <si>
    <t>W597</t>
    <phoneticPr fontId="3" type="noConversion"/>
  </si>
  <si>
    <t>W598</t>
    <phoneticPr fontId="3" type="noConversion"/>
  </si>
  <si>
    <t>W599</t>
    <phoneticPr fontId="3" type="noConversion"/>
  </si>
  <si>
    <t>W600</t>
    <phoneticPr fontId="3" type="noConversion"/>
  </si>
  <si>
    <t>W601</t>
    <phoneticPr fontId="3" type="noConversion"/>
  </si>
  <si>
    <t>W603</t>
    <phoneticPr fontId="3" type="noConversion"/>
  </si>
  <si>
    <t>W604</t>
    <phoneticPr fontId="3" type="noConversion"/>
  </si>
  <si>
    <t>W606</t>
    <phoneticPr fontId="3" type="noConversion"/>
  </si>
  <si>
    <t>W607</t>
    <phoneticPr fontId="3" type="noConversion"/>
  </si>
  <si>
    <t>W609</t>
    <phoneticPr fontId="3" type="noConversion"/>
  </si>
  <si>
    <t>W610</t>
    <phoneticPr fontId="3" type="noConversion"/>
  </si>
  <si>
    <t>W611</t>
    <phoneticPr fontId="3" type="noConversion"/>
  </si>
  <si>
    <t>W612</t>
    <phoneticPr fontId="3" type="noConversion"/>
  </si>
  <si>
    <t>W614</t>
    <phoneticPr fontId="3" type="noConversion"/>
  </si>
  <si>
    <t>W615</t>
    <phoneticPr fontId="3" type="noConversion"/>
  </si>
  <si>
    <t>W617</t>
    <phoneticPr fontId="3" type="noConversion"/>
  </si>
  <si>
    <t>W619</t>
    <phoneticPr fontId="3" type="noConversion"/>
  </si>
  <si>
    <t>W620</t>
    <phoneticPr fontId="3" type="noConversion"/>
  </si>
  <si>
    <t>W624</t>
    <phoneticPr fontId="3" type="noConversion"/>
  </si>
  <si>
    <t>W625</t>
    <phoneticPr fontId="3" type="noConversion"/>
  </si>
  <si>
    <t>W626</t>
    <phoneticPr fontId="3" type="noConversion"/>
  </si>
  <si>
    <t>W627</t>
    <phoneticPr fontId="3" type="noConversion"/>
  </si>
  <si>
    <t>W628</t>
    <phoneticPr fontId="3" type="noConversion"/>
  </si>
  <si>
    <t>W629</t>
    <phoneticPr fontId="3" type="noConversion"/>
  </si>
  <si>
    <t>W631</t>
    <phoneticPr fontId="3" type="noConversion"/>
  </si>
  <si>
    <t>W632</t>
    <phoneticPr fontId="3" type="noConversion"/>
  </si>
  <si>
    <t>W633</t>
    <phoneticPr fontId="3" type="noConversion"/>
  </si>
  <si>
    <t>W634</t>
    <phoneticPr fontId="3" type="noConversion"/>
  </si>
  <si>
    <t>W635</t>
    <phoneticPr fontId="3" type="noConversion"/>
  </si>
  <si>
    <t>W636</t>
    <phoneticPr fontId="3" type="noConversion"/>
  </si>
  <si>
    <t>W637</t>
    <phoneticPr fontId="3" type="noConversion"/>
  </si>
  <si>
    <t>W638</t>
    <phoneticPr fontId="3" type="noConversion"/>
  </si>
  <si>
    <t>W639</t>
    <phoneticPr fontId="3" type="noConversion"/>
  </si>
  <si>
    <t>W641</t>
    <phoneticPr fontId="3" type="noConversion"/>
  </si>
  <si>
    <t>W643</t>
    <phoneticPr fontId="3" type="noConversion"/>
  </si>
  <si>
    <t>W644</t>
    <phoneticPr fontId="3" type="noConversion"/>
  </si>
  <si>
    <t>W645</t>
    <phoneticPr fontId="3" type="noConversion"/>
  </si>
  <si>
    <t>W654</t>
    <phoneticPr fontId="3" type="noConversion"/>
  </si>
  <si>
    <t>W656</t>
    <phoneticPr fontId="3" type="noConversion"/>
  </si>
  <si>
    <t>W657</t>
    <phoneticPr fontId="3" type="noConversion"/>
  </si>
  <si>
    <t>W660</t>
    <phoneticPr fontId="3" type="noConversion"/>
  </si>
  <si>
    <t>W661</t>
    <phoneticPr fontId="3" type="noConversion"/>
  </si>
  <si>
    <t>W662</t>
    <phoneticPr fontId="3" type="noConversion"/>
  </si>
  <si>
    <t>W663</t>
    <phoneticPr fontId="3" type="noConversion"/>
  </si>
  <si>
    <t>W664</t>
    <phoneticPr fontId="3" type="noConversion"/>
  </si>
  <si>
    <t>W665</t>
    <phoneticPr fontId="3" type="noConversion"/>
  </si>
  <si>
    <t>W666</t>
    <phoneticPr fontId="3" type="noConversion"/>
  </si>
  <si>
    <t>W667</t>
    <phoneticPr fontId="3" type="noConversion"/>
  </si>
  <si>
    <t>W670</t>
    <phoneticPr fontId="3" type="noConversion"/>
  </si>
  <si>
    <t>W672</t>
    <phoneticPr fontId="3" type="noConversion"/>
  </si>
  <si>
    <t>W673</t>
    <phoneticPr fontId="3" type="noConversion"/>
  </si>
  <si>
    <t>W675</t>
    <phoneticPr fontId="3" type="noConversion"/>
  </si>
  <si>
    <t>W676</t>
    <phoneticPr fontId="3" type="noConversion"/>
  </si>
  <si>
    <t>W677</t>
    <phoneticPr fontId="3" type="noConversion"/>
  </si>
  <si>
    <t>W679</t>
    <phoneticPr fontId="3" type="noConversion"/>
  </si>
  <si>
    <t>W680</t>
    <phoneticPr fontId="3" type="noConversion"/>
  </si>
  <si>
    <t>W681</t>
    <phoneticPr fontId="3" type="noConversion"/>
  </si>
  <si>
    <t>W682</t>
    <phoneticPr fontId="3" type="noConversion"/>
  </si>
  <si>
    <t>W683</t>
    <phoneticPr fontId="3" type="noConversion"/>
  </si>
  <si>
    <t>W684</t>
    <phoneticPr fontId="3" type="noConversion"/>
  </si>
  <si>
    <t>W686</t>
    <phoneticPr fontId="3" type="noConversion"/>
  </si>
  <si>
    <t>W687</t>
    <phoneticPr fontId="3" type="noConversion"/>
  </si>
  <si>
    <t>W689</t>
    <phoneticPr fontId="3" type="noConversion"/>
  </si>
  <si>
    <t>W690</t>
    <phoneticPr fontId="3" type="noConversion"/>
  </si>
  <si>
    <t>W691</t>
    <phoneticPr fontId="3" type="noConversion"/>
  </si>
  <si>
    <t>W692</t>
    <phoneticPr fontId="3" type="noConversion"/>
  </si>
  <si>
    <t>W693</t>
    <phoneticPr fontId="3" type="noConversion"/>
  </si>
  <si>
    <t>W694</t>
    <phoneticPr fontId="3" type="noConversion"/>
  </si>
  <si>
    <t>W696</t>
    <phoneticPr fontId="3" type="noConversion"/>
  </si>
  <si>
    <t>W697</t>
    <phoneticPr fontId="3" type="noConversion"/>
  </si>
  <si>
    <t>W698</t>
    <phoneticPr fontId="3" type="noConversion"/>
  </si>
  <si>
    <t>W699</t>
    <phoneticPr fontId="3" type="noConversion"/>
  </si>
  <si>
    <t>W700</t>
    <phoneticPr fontId="3" type="noConversion"/>
  </si>
  <si>
    <t>W701</t>
    <phoneticPr fontId="3" type="noConversion"/>
  </si>
  <si>
    <t>W702</t>
    <phoneticPr fontId="3" type="noConversion"/>
  </si>
  <si>
    <t>W704</t>
    <phoneticPr fontId="3" type="noConversion"/>
  </si>
  <si>
    <t>W705</t>
    <phoneticPr fontId="3" type="noConversion"/>
  </si>
  <si>
    <t>W706</t>
    <phoneticPr fontId="3" type="noConversion"/>
  </si>
  <si>
    <t>W707</t>
    <phoneticPr fontId="3" type="noConversion"/>
  </si>
  <si>
    <t>W708</t>
    <phoneticPr fontId="3" type="noConversion"/>
  </si>
  <si>
    <t>W709</t>
    <phoneticPr fontId="3" type="noConversion"/>
  </si>
  <si>
    <t>W710</t>
    <phoneticPr fontId="3" type="noConversion"/>
  </si>
  <si>
    <t>W711</t>
    <phoneticPr fontId="3" type="noConversion"/>
  </si>
  <si>
    <t>W713</t>
    <phoneticPr fontId="3" type="noConversion"/>
  </si>
  <si>
    <t>W714</t>
    <phoneticPr fontId="3" type="noConversion"/>
  </si>
  <si>
    <t>W715</t>
    <phoneticPr fontId="3" type="noConversion"/>
  </si>
  <si>
    <t>W717</t>
    <phoneticPr fontId="3" type="noConversion"/>
  </si>
  <si>
    <t>W718</t>
    <phoneticPr fontId="3" type="noConversion"/>
  </si>
  <si>
    <t>W720</t>
    <phoneticPr fontId="3" type="noConversion"/>
  </si>
  <si>
    <t>W722</t>
    <phoneticPr fontId="3" type="noConversion"/>
  </si>
  <si>
    <t>W723</t>
    <phoneticPr fontId="3" type="noConversion"/>
  </si>
  <si>
    <t>W724</t>
    <phoneticPr fontId="3" type="noConversion"/>
  </si>
  <si>
    <t>W725</t>
    <phoneticPr fontId="3" type="noConversion"/>
  </si>
  <si>
    <t>W726</t>
    <phoneticPr fontId="3" type="noConversion"/>
  </si>
  <si>
    <t>W727</t>
    <phoneticPr fontId="3" type="noConversion"/>
  </si>
  <si>
    <t>W728</t>
    <phoneticPr fontId="3" type="noConversion"/>
  </si>
  <si>
    <t>W730</t>
    <phoneticPr fontId="3" type="noConversion"/>
  </si>
  <si>
    <t>W731</t>
    <phoneticPr fontId="3" type="noConversion"/>
  </si>
  <si>
    <t>W732</t>
    <phoneticPr fontId="3" type="noConversion"/>
  </si>
  <si>
    <t>W734</t>
    <phoneticPr fontId="3" type="noConversion"/>
  </si>
  <si>
    <t>W735</t>
    <phoneticPr fontId="3" type="noConversion"/>
  </si>
  <si>
    <t>W740</t>
    <phoneticPr fontId="3" type="noConversion"/>
  </si>
  <si>
    <t>W741</t>
    <phoneticPr fontId="3" type="noConversion"/>
  </si>
  <si>
    <t>W742</t>
    <phoneticPr fontId="3" type="noConversion"/>
  </si>
  <si>
    <t>W743</t>
    <phoneticPr fontId="3" type="noConversion"/>
  </si>
  <si>
    <t>W744</t>
    <phoneticPr fontId="3" type="noConversion"/>
  </si>
  <si>
    <t>W745</t>
    <phoneticPr fontId="3" type="noConversion"/>
  </si>
  <si>
    <t>W747</t>
    <phoneticPr fontId="3" type="noConversion"/>
  </si>
  <si>
    <t>W748</t>
    <phoneticPr fontId="3" type="noConversion"/>
  </si>
  <si>
    <t>W749</t>
    <phoneticPr fontId="3" type="noConversion"/>
  </si>
  <si>
    <t>W750</t>
    <phoneticPr fontId="3" type="noConversion"/>
  </si>
  <si>
    <t>W751</t>
    <phoneticPr fontId="3" type="noConversion"/>
  </si>
  <si>
    <t>W752</t>
    <phoneticPr fontId="3" type="noConversion"/>
  </si>
  <si>
    <t>W753</t>
    <phoneticPr fontId="3" type="noConversion"/>
  </si>
  <si>
    <t>W754</t>
    <phoneticPr fontId="3" type="noConversion"/>
  </si>
  <si>
    <t>W755</t>
    <phoneticPr fontId="3" type="noConversion"/>
  </si>
  <si>
    <t>W756</t>
    <phoneticPr fontId="3" type="noConversion"/>
  </si>
  <si>
    <t>W757</t>
    <phoneticPr fontId="3" type="noConversion"/>
  </si>
  <si>
    <t>W758</t>
    <phoneticPr fontId="3" type="noConversion"/>
  </si>
  <si>
    <t>W759</t>
    <phoneticPr fontId="3" type="noConversion"/>
  </si>
  <si>
    <t>W760</t>
    <phoneticPr fontId="3" type="noConversion"/>
  </si>
  <si>
    <t>W761</t>
    <phoneticPr fontId="3" type="noConversion"/>
  </si>
  <si>
    <t>W762</t>
    <phoneticPr fontId="3" type="noConversion"/>
  </si>
  <si>
    <t>W763</t>
    <phoneticPr fontId="3" type="noConversion"/>
  </si>
  <si>
    <t>W767</t>
    <phoneticPr fontId="3" type="noConversion"/>
  </si>
  <si>
    <t>W768</t>
    <phoneticPr fontId="3" type="noConversion"/>
  </si>
  <si>
    <t>W769</t>
    <phoneticPr fontId="3" type="noConversion"/>
  </si>
  <si>
    <t>W770</t>
    <phoneticPr fontId="3" type="noConversion"/>
  </si>
  <si>
    <t>W771</t>
    <phoneticPr fontId="3" type="noConversion"/>
  </si>
  <si>
    <t>W772</t>
    <phoneticPr fontId="3" type="noConversion"/>
  </si>
  <si>
    <t>W773</t>
    <phoneticPr fontId="3" type="noConversion"/>
  </si>
  <si>
    <t>W774</t>
    <phoneticPr fontId="3" type="noConversion"/>
  </si>
  <si>
    <t>W775</t>
    <phoneticPr fontId="3" type="noConversion"/>
  </si>
  <si>
    <t>W776</t>
    <phoneticPr fontId="3" type="noConversion"/>
  </si>
  <si>
    <t>W777</t>
    <phoneticPr fontId="3" type="noConversion"/>
  </si>
  <si>
    <t>W778</t>
    <phoneticPr fontId="3" type="noConversion"/>
  </si>
  <si>
    <t>W779</t>
    <phoneticPr fontId="3" type="noConversion"/>
  </si>
  <si>
    <t>W780</t>
    <phoneticPr fontId="3" type="noConversion"/>
  </si>
  <si>
    <t>W781</t>
    <phoneticPr fontId="3" type="noConversion"/>
  </si>
  <si>
    <t>W782</t>
    <phoneticPr fontId="3" type="noConversion"/>
  </si>
  <si>
    <t>W783</t>
    <phoneticPr fontId="3" type="noConversion"/>
  </si>
  <si>
    <t>W784</t>
    <phoneticPr fontId="3" type="noConversion"/>
  </si>
  <si>
    <t>W785</t>
    <phoneticPr fontId="3" type="noConversion"/>
  </si>
  <si>
    <t>W786</t>
    <phoneticPr fontId="3" type="noConversion"/>
  </si>
  <si>
    <t>W787</t>
    <phoneticPr fontId="3" type="noConversion"/>
  </si>
  <si>
    <t>W788</t>
    <phoneticPr fontId="3" type="noConversion"/>
  </si>
  <si>
    <t>W789</t>
    <phoneticPr fontId="3" type="noConversion"/>
  </si>
  <si>
    <t>W790</t>
    <phoneticPr fontId="3" type="noConversion"/>
  </si>
  <si>
    <t>W791</t>
    <phoneticPr fontId="3" type="noConversion"/>
  </si>
  <si>
    <t>W792</t>
    <phoneticPr fontId="3" type="noConversion"/>
  </si>
  <si>
    <t>W793</t>
    <phoneticPr fontId="3" type="noConversion"/>
  </si>
  <si>
    <t>W794</t>
    <phoneticPr fontId="3" type="noConversion"/>
  </si>
  <si>
    <t>W795</t>
    <phoneticPr fontId="3" type="noConversion"/>
  </si>
  <si>
    <t>W796</t>
    <phoneticPr fontId="3" type="noConversion"/>
  </si>
  <si>
    <t>W797</t>
    <phoneticPr fontId="3" type="noConversion"/>
  </si>
  <si>
    <t>2021.01.12</t>
    <phoneticPr fontId="3" type="noConversion"/>
  </si>
  <si>
    <t>W504</t>
    <phoneticPr fontId="3" type="noConversion"/>
  </si>
  <si>
    <t>W505</t>
    <phoneticPr fontId="3" type="noConversion"/>
  </si>
  <si>
    <t>W506</t>
    <phoneticPr fontId="3" type="noConversion"/>
  </si>
  <si>
    <t>w507</t>
    <phoneticPr fontId="3" type="noConversion"/>
  </si>
  <si>
    <t>W508</t>
    <phoneticPr fontId="3" type="noConversion"/>
  </si>
  <si>
    <t>W509</t>
    <phoneticPr fontId="3" type="noConversion"/>
  </si>
  <si>
    <t>W510</t>
    <phoneticPr fontId="3" type="noConversion"/>
  </si>
  <si>
    <t>W511</t>
    <phoneticPr fontId="3" type="noConversion"/>
  </si>
  <si>
    <t>W512</t>
    <phoneticPr fontId="3" type="noConversion"/>
  </si>
  <si>
    <t>W513</t>
    <phoneticPr fontId="3" type="noConversion"/>
  </si>
  <si>
    <t>W514</t>
    <phoneticPr fontId="3" type="noConversion"/>
  </si>
  <si>
    <t>W515</t>
    <phoneticPr fontId="3" type="noConversion"/>
  </si>
  <si>
    <t>W516</t>
    <phoneticPr fontId="3" type="noConversion"/>
  </si>
  <si>
    <t>W517</t>
    <phoneticPr fontId="3" type="noConversion"/>
  </si>
  <si>
    <t>w518</t>
    <phoneticPr fontId="3" type="noConversion"/>
  </si>
  <si>
    <t>W519</t>
    <phoneticPr fontId="3" type="noConversion"/>
  </si>
  <si>
    <t>W521</t>
    <phoneticPr fontId="3" type="noConversion"/>
  </si>
  <si>
    <t>w522</t>
    <phoneticPr fontId="3" type="noConversion"/>
  </si>
  <si>
    <t>W523</t>
    <phoneticPr fontId="3" type="noConversion"/>
  </si>
  <si>
    <t>W524</t>
    <phoneticPr fontId="3" type="noConversion"/>
  </si>
  <si>
    <t>w525</t>
    <phoneticPr fontId="3" type="noConversion"/>
  </si>
  <si>
    <t>w526</t>
    <phoneticPr fontId="3" type="noConversion"/>
  </si>
  <si>
    <t>W528</t>
    <phoneticPr fontId="3" type="noConversion"/>
  </si>
  <si>
    <t>W529</t>
    <phoneticPr fontId="3" type="noConversion"/>
  </si>
  <si>
    <t>W530</t>
    <phoneticPr fontId="3" type="noConversion"/>
  </si>
  <si>
    <t>w531</t>
    <phoneticPr fontId="3" type="noConversion"/>
  </si>
  <si>
    <t>W532</t>
    <phoneticPr fontId="3" type="noConversion"/>
  </si>
  <si>
    <t>W533</t>
    <phoneticPr fontId="3" type="noConversion"/>
  </si>
  <si>
    <t>W534</t>
    <phoneticPr fontId="3" type="noConversion"/>
  </si>
  <si>
    <t>W535</t>
    <phoneticPr fontId="3" type="noConversion"/>
  </si>
  <si>
    <t>W536</t>
    <phoneticPr fontId="3" type="noConversion"/>
  </si>
  <si>
    <t>W537</t>
    <phoneticPr fontId="3" type="noConversion"/>
  </si>
  <si>
    <t>W538</t>
    <phoneticPr fontId="3" type="noConversion"/>
  </si>
  <si>
    <t>W539</t>
    <phoneticPr fontId="3" type="noConversion"/>
  </si>
  <si>
    <t>W540</t>
    <phoneticPr fontId="3" type="noConversion"/>
  </si>
  <si>
    <t>W541</t>
    <phoneticPr fontId="3" type="noConversion"/>
  </si>
  <si>
    <t>W542</t>
    <phoneticPr fontId="3" type="noConversion"/>
  </si>
  <si>
    <t>W543</t>
    <phoneticPr fontId="3" type="noConversion"/>
  </si>
  <si>
    <t>W544</t>
    <phoneticPr fontId="3" type="noConversion"/>
  </si>
  <si>
    <t>w546</t>
    <phoneticPr fontId="3" type="noConversion"/>
  </si>
  <si>
    <t>w547</t>
    <phoneticPr fontId="3" type="noConversion"/>
  </si>
  <si>
    <t>W548</t>
    <phoneticPr fontId="3" type="noConversion"/>
  </si>
  <si>
    <t>W549</t>
    <phoneticPr fontId="3" type="noConversion"/>
  </si>
  <si>
    <t>W550</t>
    <phoneticPr fontId="3" type="noConversion"/>
  </si>
  <si>
    <t>W551</t>
    <phoneticPr fontId="3" type="noConversion"/>
  </si>
  <si>
    <t>W552</t>
    <phoneticPr fontId="3" type="noConversion"/>
  </si>
  <si>
    <t>W553</t>
    <phoneticPr fontId="3" type="noConversion"/>
  </si>
  <si>
    <t>w555</t>
    <phoneticPr fontId="3" type="noConversion"/>
  </si>
  <si>
    <t>W556</t>
    <phoneticPr fontId="3" type="noConversion"/>
  </si>
  <si>
    <t>W559</t>
    <phoneticPr fontId="3" type="noConversion"/>
  </si>
  <si>
    <t>W560</t>
    <phoneticPr fontId="3" type="noConversion"/>
  </si>
  <si>
    <t>W562</t>
    <phoneticPr fontId="3" type="noConversion"/>
  </si>
  <si>
    <t>W563</t>
    <phoneticPr fontId="3" type="noConversion"/>
  </si>
  <si>
    <t>W564</t>
    <phoneticPr fontId="3" type="noConversion"/>
  </si>
  <si>
    <t>W565</t>
    <phoneticPr fontId="3" type="noConversion"/>
  </si>
  <si>
    <t>W568</t>
    <phoneticPr fontId="3" type="noConversion"/>
  </si>
  <si>
    <t>W569</t>
    <phoneticPr fontId="3" type="noConversion"/>
  </si>
  <si>
    <t>W570</t>
    <phoneticPr fontId="3" type="noConversion"/>
  </si>
  <si>
    <t>W571</t>
    <phoneticPr fontId="3" type="noConversion"/>
  </si>
  <si>
    <t>W573</t>
    <phoneticPr fontId="3" type="noConversion"/>
  </si>
  <si>
    <t>W574</t>
    <phoneticPr fontId="3" type="noConversion"/>
  </si>
  <si>
    <t>W575</t>
    <phoneticPr fontId="3" type="noConversion"/>
  </si>
  <si>
    <t>W576</t>
    <phoneticPr fontId="3" type="noConversion"/>
  </si>
  <si>
    <t>W577</t>
    <phoneticPr fontId="3" type="noConversion"/>
  </si>
  <si>
    <t>W578</t>
    <phoneticPr fontId="3" type="noConversion"/>
  </si>
  <si>
    <t>W580</t>
    <phoneticPr fontId="3" type="noConversion"/>
  </si>
  <si>
    <t>W581</t>
    <phoneticPr fontId="3" type="noConversion"/>
  </si>
  <si>
    <t>W584</t>
    <phoneticPr fontId="3" type="noConversion"/>
  </si>
  <si>
    <t>W585</t>
    <phoneticPr fontId="3" type="noConversion"/>
  </si>
  <si>
    <t>W586</t>
    <phoneticPr fontId="3" type="noConversion"/>
  </si>
  <si>
    <t>W587</t>
    <phoneticPr fontId="3" type="noConversion"/>
  </si>
  <si>
    <t>W588</t>
    <phoneticPr fontId="3" type="noConversion"/>
  </si>
  <si>
    <t>W589</t>
    <phoneticPr fontId="3" type="noConversion"/>
  </si>
  <si>
    <t>W590</t>
    <phoneticPr fontId="3" type="noConversion"/>
  </si>
  <si>
    <t>W591</t>
    <phoneticPr fontId="3" type="noConversion"/>
  </si>
  <si>
    <t>W592</t>
    <phoneticPr fontId="3" type="noConversion"/>
  </si>
  <si>
    <t>W593</t>
    <phoneticPr fontId="3" type="noConversion"/>
  </si>
  <si>
    <t>W594</t>
    <phoneticPr fontId="3" type="noConversion"/>
  </si>
  <si>
    <t>W595</t>
    <phoneticPr fontId="3" type="noConversion"/>
  </si>
  <si>
    <t>W596</t>
    <phoneticPr fontId="3" type="noConversion"/>
  </si>
  <si>
    <t>W597</t>
    <phoneticPr fontId="3" type="noConversion"/>
  </si>
  <si>
    <t>W598</t>
    <phoneticPr fontId="3" type="noConversion"/>
  </si>
  <si>
    <t>W599</t>
    <phoneticPr fontId="3" type="noConversion"/>
  </si>
  <si>
    <t>W600</t>
    <phoneticPr fontId="3" type="noConversion"/>
  </si>
  <si>
    <t>W601</t>
    <phoneticPr fontId="3" type="noConversion"/>
  </si>
  <si>
    <t>W603</t>
    <phoneticPr fontId="3" type="noConversion"/>
  </si>
  <si>
    <t>W604</t>
    <phoneticPr fontId="3" type="noConversion"/>
  </si>
  <si>
    <t>W606</t>
    <phoneticPr fontId="3" type="noConversion"/>
  </si>
  <si>
    <t>W607</t>
    <phoneticPr fontId="3" type="noConversion"/>
  </si>
  <si>
    <t>W609</t>
    <phoneticPr fontId="3" type="noConversion"/>
  </si>
  <si>
    <t>W610</t>
    <phoneticPr fontId="3" type="noConversion"/>
  </si>
  <si>
    <t>W611</t>
    <phoneticPr fontId="3" type="noConversion"/>
  </si>
  <si>
    <t>W612</t>
    <phoneticPr fontId="3" type="noConversion"/>
  </si>
  <si>
    <t>W614</t>
    <phoneticPr fontId="3" type="noConversion"/>
  </si>
  <si>
    <t>W615</t>
    <phoneticPr fontId="3" type="noConversion"/>
  </si>
  <si>
    <t>W617</t>
    <phoneticPr fontId="3" type="noConversion"/>
  </si>
  <si>
    <t>W619</t>
    <phoneticPr fontId="3" type="noConversion"/>
  </si>
  <si>
    <t>W620</t>
    <phoneticPr fontId="3" type="noConversion"/>
  </si>
  <si>
    <t>W624</t>
    <phoneticPr fontId="3" type="noConversion"/>
  </si>
  <si>
    <t>W625</t>
    <phoneticPr fontId="3" type="noConversion"/>
  </si>
  <si>
    <t>W626</t>
    <phoneticPr fontId="3" type="noConversion"/>
  </si>
  <si>
    <t>W627</t>
    <phoneticPr fontId="3" type="noConversion"/>
  </si>
  <si>
    <t>W628</t>
    <phoneticPr fontId="3" type="noConversion"/>
  </si>
  <si>
    <t>W629</t>
    <phoneticPr fontId="3" type="noConversion"/>
  </si>
  <si>
    <t>W631</t>
    <phoneticPr fontId="3" type="noConversion"/>
  </si>
  <si>
    <t>W632</t>
    <phoneticPr fontId="3" type="noConversion"/>
  </si>
  <si>
    <t>W633</t>
    <phoneticPr fontId="3" type="noConversion"/>
  </si>
  <si>
    <t>W634</t>
    <phoneticPr fontId="3" type="noConversion"/>
  </si>
  <si>
    <t>W635</t>
    <phoneticPr fontId="3" type="noConversion"/>
  </si>
  <si>
    <t>W636</t>
    <phoneticPr fontId="3" type="noConversion"/>
  </si>
  <si>
    <t>W637</t>
    <phoneticPr fontId="3" type="noConversion"/>
  </si>
  <si>
    <t>W638</t>
    <phoneticPr fontId="3" type="noConversion"/>
  </si>
  <si>
    <t>W639</t>
    <phoneticPr fontId="3" type="noConversion"/>
  </si>
  <si>
    <t>W641</t>
    <phoneticPr fontId="3" type="noConversion"/>
  </si>
  <si>
    <t>W643</t>
    <phoneticPr fontId="3" type="noConversion"/>
  </si>
  <si>
    <t>W644</t>
    <phoneticPr fontId="3" type="noConversion"/>
  </si>
  <si>
    <t>W645</t>
    <phoneticPr fontId="3" type="noConversion"/>
  </si>
  <si>
    <t>W654</t>
    <phoneticPr fontId="3" type="noConversion"/>
  </si>
  <si>
    <t>W656</t>
    <phoneticPr fontId="3" type="noConversion"/>
  </si>
  <si>
    <t>W657</t>
    <phoneticPr fontId="3" type="noConversion"/>
  </si>
  <si>
    <t>W660</t>
    <phoneticPr fontId="3" type="noConversion"/>
  </si>
  <si>
    <t>W661</t>
    <phoneticPr fontId="3" type="noConversion"/>
  </si>
  <si>
    <t>W662</t>
    <phoneticPr fontId="3" type="noConversion"/>
  </si>
  <si>
    <t>W663</t>
    <phoneticPr fontId="3" type="noConversion"/>
  </si>
  <si>
    <t>W664</t>
    <phoneticPr fontId="3" type="noConversion"/>
  </si>
  <si>
    <t>W665</t>
    <phoneticPr fontId="3" type="noConversion"/>
  </si>
  <si>
    <t>W666</t>
    <phoneticPr fontId="3" type="noConversion"/>
  </si>
  <si>
    <t>W667</t>
    <phoneticPr fontId="3" type="noConversion"/>
  </si>
  <si>
    <t>W670</t>
    <phoneticPr fontId="3" type="noConversion"/>
  </si>
  <si>
    <t>W672</t>
    <phoneticPr fontId="3" type="noConversion"/>
  </si>
  <si>
    <t>W673</t>
    <phoneticPr fontId="3" type="noConversion"/>
  </si>
  <si>
    <t>W675</t>
    <phoneticPr fontId="3" type="noConversion"/>
  </si>
  <si>
    <t>W676</t>
    <phoneticPr fontId="3" type="noConversion"/>
  </si>
  <si>
    <t>W677</t>
    <phoneticPr fontId="3" type="noConversion"/>
  </si>
  <si>
    <t>W679</t>
    <phoneticPr fontId="3" type="noConversion"/>
  </si>
  <si>
    <t>W680</t>
    <phoneticPr fontId="3" type="noConversion"/>
  </si>
  <si>
    <t>W681</t>
    <phoneticPr fontId="3" type="noConversion"/>
  </si>
  <si>
    <t>W682</t>
    <phoneticPr fontId="3" type="noConversion"/>
  </si>
  <si>
    <t>W683</t>
    <phoneticPr fontId="3" type="noConversion"/>
  </si>
  <si>
    <t>W684</t>
    <phoneticPr fontId="3" type="noConversion"/>
  </si>
  <si>
    <t>W686</t>
    <phoneticPr fontId="3" type="noConversion"/>
  </si>
  <si>
    <t>W687</t>
    <phoneticPr fontId="3" type="noConversion"/>
  </si>
  <si>
    <t>W689</t>
    <phoneticPr fontId="3" type="noConversion"/>
  </si>
  <si>
    <t>W690</t>
    <phoneticPr fontId="3" type="noConversion"/>
  </si>
  <si>
    <t>W691</t>
    <phoneticPr fontId="3" type="noConversion"/>
  </si>
  <si>
    <t>W692</t>
    <phoneticPr fontId="3" type="noConversion"/>
  </si>
  <si>
    <t>W693</t>
    <phoneticPr fontId="3" type="noConversion"/>
  </si>
  <si>
    <t>W694</t>
    <phoneticPr fontId="3" type="noConversion"/>
  </si>
  <si>
    <t>W696</t>
    <phoneticPr fontId="3" type="noConversion"/>
  </si>
  <si>
    <t>W697</t>
    <phoneticPr fontId="3" type="noConversion"/>
  </si>
  <si>
    <t>W698</t>
    <phoneticPr fontId="3" type="noConversion"/>
  </si>
  <si>
    <t>W699</t>
    <phoneticPr fontId="3" type="noConversion"/>
  </si>
  <si>
    <t>W700</t>
    <phoneticPr fontId="3" type="noConversion"/>
  </si>
  <si>
    <t>W701</t>
    <phoneticPr fontId="3" type="noConversion"/>
  </si>
  <si>
    <t>W702</t>
    <phoneticPr fontId="3" type="noConversion"/>
  </si>
  <si>
    <t>W704</t>
    <phoneticPr fontId="3" type="noConversion"/>
  </si>
  <si>
    <t>W705</t>
    <phoneticPr fontId="3" type="noConversion"/>
  </si>
  <si>
    <t>W706</t>
    <phoneticPr fontId="3" type="noConversion"/>
  </si>
  <si>
    <t>W707</t>
    <phoneticPr fontId="3" type="noConversion"/>
  </si>
  <si>
    <t>W708</t>
    <phoneticPr fontId="3" type="noConversion"/>
  </si>
  <si>
    <t>W709</t>
    <phoneticPr fontId="3" type="noConversion"/>
  </si>
  <si>
    <t>W710</t>
    <phoneticPr fontId="3" type="noConversion"/>
  </si>
  <si>
    <t>W711</t>
    <phoneticPr fontId="3" type="noConversion"/>
  </si>
  <si>
    <t>W713</t>
    <phoneticPr fontId="3" type="noConversion"/>
  </si>
  <si>
    <t>W714</t>
    <phoneticPr fontId="3" type="noConversion"/>
  </si>
  <si>
    <t>W715</t>
    <phoneticPr fontId="3" type="noConversion"/>
  </si>
  <si>
    <t>W717</t>
    <phoneticPr fontId="3" type="noConversion"/>
  </si>
  <si>
    <t>W718</t>
    <phoneticPr fontId="3" type="noConversion"/>
  </si>
  <si>
    <t>W720</t>
    <phoneticPr fontId="3" type="noConversion"/>
  </si>
  <si>
    <t>W722</t>
    <phoneticPr fontId="3" type="noConversion"/>
  </si>
  <si>
    <t>W723</t>
    <phoneticPr fontId="3" type="noConversion"/>
  </si>
  <si>
    <t>W724</t>
    <phoneticPr fontId="3" type="noConversion"/>
  </si>
  <si>
    <t>W725</t>
    <phoneticPr fontId="3" type="noConversion"/>
  </si>
  <si>
    <t>W726</t>
    <phoneticPr fontId="3" type="noConversion"/>
  </si>
  <si>
    <t>W727</t>
    <phoneticPr fontId="3" type="noConversion"/>
  </si>
  <si>
    <t>W728</t>
    <phoneticPr fontId="3" type="noConversion"/>
  </si>
  <si>
    <t>W730</t>
    <phoneticPr fontId="3" type="noConversion"/>
  </si>
  <si>
    <t>W731</t>
    <phoneticPr fontId="3" type="noConversion"/>
  </si>
  <si>
    <t>W732</t>
    <phoneticPr fontId="3" type="noConversion"/>
  </si>
  <si>
    <t>W734</t>
    <phoneticPr fontId="3" type="noConversion"/>
  </si>
  <si>
    <t>W735</t>
    <phoneticPr fontId="3" type="noConversion"/>
  </si>
  <si>
    <t>W740</t>
    <phoneticPr fontId="3" type="noConversion"/>
  </si>
  <si>
    <t>W741</t>
    <phoneticPr fontId="3" type="noConversion"/>
  </si>
  <si>
    <t>W742</t>
    <phoneticPr fontId="3" type="noConversion"/>
  </si>
  <si>
    <t>W743</t>
    <phoneticPr fontId="3" type="noConversion"/>
  </si>
  <si>
    <t>W744</t>
    <phoneticPr fontId="3" type="noConversion"/>
  </si>
  <si>
    <t>W745</t>
    <phoneticPr fontId="3" type="noConversion"/>
  </si>
  <si>
    <t>W747</t>
    <phoneticPr fontId="3" type="noConversion"/>
  </si>
  <si>
    <t>W748</t>
    <phoneticPr fontId="3" type="noConversion"/>
  </si>
  <si>
    <t>W749</t>
    <phoneticPr fontId="3" type="noConversion"/>
  </si>
  <si>
    <t>W750</t>
    <phoneticPr fontId="3" type="noConversion"/>
  </si>
  <si>
    <t>W751</t>
    <phoneticPr fontId="3" type="noConversion"/>
  </si>
  <si>
    <t>W752</t>
    <phoneticPr fontId="3" type="noConversion"/>
  </si>
  <si>
    <t>W753</t>
    <phoneticPr fontId="3" type="noConversion"/>
  </si>
  <si>
    <t>W754</t>
    <phoneticPr fontId="3" type="noConversion"/>
  </si>
  <si>
    <t>W755</t>
    <phoneticPr fontId="3" type="noConversion"/>
  </si>
  <si>
    <t>W756</t>
    <phoneticPr fontId="3" type="noConversion"/>
  </si>
  <si>
    <t>W757</t>
    <phoneticPr fontId="3" type="noConversion"/>
  </si>
  <si>
    <t>W758</t>
    <phoneticPr fontId="3" type="noConversion"/>
  </si>
  <si>
    <t>W759</t>
    <phoneticPr fontId="3" type="noConversion"/>
  </si>
  <si>
    <t>W760</t>
    <phoneticPr fontId="3" type="noConversion"/>
  </si>
  <si>
    <t>W761</t>
    <phoneticPr fontId="3" type="noConversion"/>
  </si>
  <si>
    <t>W762</t>
    <phoneticPr fontId="3" type="noConversion"/>
  </si>
  <si>
    <t>W763</t>
    <phoneticPr fontId="3" type="noConversion"/>
  </si>
  <si>
    <t>W767</t>
    <phoneticPr fontId="3" type="noConversion"/>
  </si>
  <si>
    <t>W768</t>
    <phoneticPr fontId="3" type="noConversion"/>
  </si>
  <si>
    <t>W769</t>
    <phoneticPr fontId="3" type="noConversion"/>
  </si>
  <si>
    <t>W770</t>
    <phoneticPr fontId="3" type="noConversion"/>
  </si>
  <si>
    <t>W771</t>
    <phoneticPr fontId="3" type="noConversion"/>
  </si>
  <si>
    <t>W772</t>
    <phoneticPr fontId="3" type="noConversion"/>
  </si>
  <si>
    <t>W773</t>
    <phoneticPr fontId="3" type="noConversion"/>
  </si>
  <si>
    <t>W774</t>
    <phoneticPr fontId="3" type="noConversion"/>
  </si>
  <si>
    <t>W775</t>
    <phoneticPr fontId="3" type="noConversion"/>
  </si>
  <si>
    <t>W776</t>
    <phoneticPr fontId="3" type="noConversion"/>
  </si>
  <si>
    <t>W777</t>
    <phoneticPr fontId="3" type="noConversion"/>
  </si>
  <si>
    <t>W778</t>
    <phoneticPr fontId="3" type="noConversion"/>
  </si>
  <si>
    <t>W779</t>
    <phoneticPr fontId="3" type="noConversion"/>
  </si>
  <si>
    <t>W780</t>
    <phoneticPr fontId="3" type="noConversion"/>
  </si>
  <si>
    <t>W781</t>
    <phoneticPr fontId="3" type="noConversion"/>
  </si>
  <si>
    <t>W782</t>
    <phoneticPr fontId="3" type="noConversion"/>
  </si>
  <si>
    <t>W783</t>
    <phoneticPr fontId="3" type="noConversion"/>
  </si>
  <si>
    <t>W784</t>
    <phoneticPr fontId="3" type="noConversion"/>
  </si>
  <si>
    <t>W785</t>
    <phoneticPr fontId="3" type="noConversion"/>
  </si>
  <si>
    <t>W786</t>
    <phoneticPr fontId="3" type="noConversion"/>
  </si>
  <si>
    <t>W787</t>
    <phoneticPr fontId="3" type="noConversion"/>
  </si>
  <si>
    <t>W788</t>
    <phoneticPr fontId="3" type="noConversion"/>
  </si>
  <si>
    <t>W789</t>
    <phoneticPr fontId="3" type="noConversion"/>
  </si>
  <si>
    <t>W790</t>
    <phoneticPr fontId="3" type="noConversion"/>
  </si>
  <si>
    <t>W791</t>
    <phoneticPr fontId="3" type="noConversion"/>
  </si>
  <si>
    <t>W792</t>
    <phoneticPr fontId="3" type="noConversion"/>
  </si>
  <si>
    <t>W793</t>
    <phoneticPr fontId="3" type="noConversion"/>
  </si>
  <si>
    <t>W794</t>
    <phoneticPr fontId="3" type="noConversion"/>
  </si>
  <si>
    <t>W795</t>
    <phoneticPr fontId="3" type="noConversion"/>
  </si>
  <si>
    <t>W796</t>
    <phoneticPr fontId="3" type="noConversion"/>
  </si>
  <si>
    <t>W797</t>
    <phoneticPr fontId="3" type="noConversion"/>
  </si>
  <si>
    <t>최종 업데이트 일자</t>
    <phoneticPr fontId="3" type="noConversion"/>
  </si>
  <si>
    <t>2021.01.12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</si>
</sst>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_);_(* \(#,##0\);_(* &quot;-&quot;_);_(@_)"/>
  </numFmts>
  <fonts count="1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0"/>
      <name val="맑은 고딕"/>
      <family val="3"/>
      <charset val="129"/>
      <scheme val="minor"/>
    </font>
    <font>
      <sz val="10"/>
      <color theme="0"/>
      <name val="Arial"/>
      <family val="2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sz val="9"/>
      <color theme="1"/>
      <name val="굴림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5" fillId="0" borderId="0" xfId="0" applyFont="1" applyAlignment="1"/>
    <xf numFmtId="0" fontId="0" fillId="0" borderId="0" xfId="0" applyAlignment="1">
      <alignment horizontal="center" vertical="center"/>
    </xf>
    <xf numFmtId="0" fontId="2" fillId="2" borderId="0" xfId="0" applyFont="1" applyFill="1">
      <alignment vertical="center"/>
    </xf>
    <xf numFmtId="0" fontId="0" fillId="0" borderId="1" xfId="0" applyBorder="1">
      <alignment vertical="center"/>
    </xf>
    <xf numFmtId="0" fontId="6" fillId="2" borderId="0" xfId="0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76" fontId="0" fillId="0" borderId="0" xfId="1" applyFont="1">
      <alignment vertical="center"/>
    </xf>
    <xf numFmtId="0" fontId="7" fillId="2" borderId="0" xfId="0" applyFont="1" applyFill="1" applyAlignment="1"/>
    <xf numFmtId="0" fontId="8" fillId="2" borderId="2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176" fontId="8" fillId="2" borderId="3" xfId="1" applyFont="1" applyFill="1" applyBorder="1" applyAlignment="1">
      <alignment horizontal="center"/>
    </xf>
    <xf numFmtId="0" fontId="4" fillId="0" borderId="1" xfId="0" applyFont="1" applyBorder="1" applyAlignment="1"/>
    <xf numFmtId="176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" fontId="0" fillId="0" borderId="0" xfId="0" applyNumberFormat="1">
      <alignment vertical="center"/>
    </xf>
    <xf numFmtId="0" fontId="2" fillId="2" borderId="0" xfId="0" applyFont="1" applyFill="1" applyAlignment="1">
      <alignment horizontal="center" vertical="center"/>
    </xf>
    <xf numFmtId="176" fontId="2" fillId="2" borderId="0" xfId="1" applyFont="1" applyFill="1" applyAlignment="1">
      <alignment horizontal="center" vertical="center"/>
    </xf>
    <xf numFmtId="0" fontId="0" fillId="0" borderId="1" xfId="0" applyFill="1" applyBorder="1">
      <alignment vertical="center"/>
    </xf>
    <xf numFmtId="176" fontId="0" fillId="0" borderId="1" xfId="1" applyFont="1" applyFill="1" applyBorder="1">
      <alignment vertical="center"/>
    </xf>
    <xf numFmtId="0" fontId="0" fillId="0" borderId="0" xfId="0" applyFill="1">
      <alignment vertical="center"/>
    </xf>
    <xf numFmtId="176" fontId="6" fillId="2" borderId="1" xfId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76" fontId="0" fillId="3" borderId="1" xfId="1" applyFont="1" applyFill="1" applyBorder="1">
      <alignment vertical="center"/>
    </xf>
    <xf numFmtId="176" fontId="0" fillId="3" borderId="1" xfId="0" applyNumberFormat="1" applyFill="1" applyBorder="1">
      <alignment vertical="center"/>
    </xf>
    <xf numFmtId="0" fontId="0" fillId="3" borderId="0" xfId="0" applyFill="1">
      <alignment vertical="center"/>
    </xf>
    <xf numFmtId="176" fontId="0" fillId="0" borderId="1" xfId="2" applyFont="1" applyBorder="1">
      <alignment vertical="center"/>
    </xf>
    <xf numFmtId="0" fontId="0" fillId="0" borderId="1" xfId="0" applyBorder="1">
      <alignment vertical="center"/>
    </xf>
    <xf numFmtId="3" fontId="0" fillId="0" borderId="1" xfId="0" applyNumberFormat="1" applyBorder="1">
      <alignment vertical="center"/>
    </xf>
    <xf numFmtId="0" fontId="2" fillId="2" borderId="0" xfId="0" applyFont="1" applyFill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left" vertical="center"/>
    </xf>
    <xf numFmtId="0" fontId="10" fillId="0" borderId="7" xfId="0" applyFont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left" vertical="center"/>
    </xf>
    <xf numFmtId="0" fontId="9" fillId="0" borderId="0" xfId="0" applyFont="1" applyAlignment="1">
      <alignment horizontal="justify" vertical="center"/>
    </xf>
    <xf numFmtId="176" fontId="2" fillId="2" borderId="0" xfId="1" applyFont="1" applyFill="1" applyAlignment="1">
      <alignment horizontal="center" vertical="center"/>
    </xf>
    <xf numFmtId="176" fontId="6" fillId="2" borderId="0" xfId="1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185"/>
  <sheetViews>
    <sheetView tabSelected="1" workbookViewId="0">
      <selection activeCell="F114" sqref="F114"/>
    </sheetView>
  </sheetViews>
  <sheetFormatPr defaultRowHeight="17.399999999999999" x14ac:dyDescent="0.4"/>
  <cols>
    <col min="2" max="2" width="6.69921875" bestFit="1" customWidth="1"/>
    <col min="3" max="3" width="40" bestFit="1" customWidth="1"/>
    <col min="4" max="4" width="14.3984375" bestFit="1" customWidth="1"/>
    <col min="5" max="5" width="16.5" style="7" bestFit="1" customWidth="1"/>
    <col min="6" max="6" width="15.3984375" style="7" bestFit="1" customWidth="1"/>
    <col min="7" max="7" width="14.3984375" style="7" bestFit="1" customWidth="1"/>
    <col min="8" max="8" width="29.3984375" bestFit="1" customWidth="1"/>
    <col min="9" max="9" width="25.3984375" bestFit="1" customWidth="1"/>
  </cols>
  <sheetData>
    <row r="2" spans="2:10" x14ac:dyDescent="0.4">
      <c r="E2" s="42" t="s">
        <v>193</v>
      </c>
      <c r="F2" s="43"/>
      <c r="G2" s="43"/>
    </row>
    <row r="3" spans="2:10" x14ac:dyDescent="0.4">
      <c r="B3" s="16" t="str">
        <f>사업장!B4</f>
        <v>사업장</v>
      </c>
      <c r="C3" s="16" t="str">
        <f>사업장!C4</f>
        <v>사업장명</v>
      </c>
      <c r="D3" s="16" t="str">
        <f>사업장!D4</f>
        <v>사업자등록번호</v>
      </c>
      <c r="E3" s="17" t="str">
        <f>사업장!N4</f>
        <v>공급가액2</v>
      </c>
      <c r="F3" s="17" t="str">
        <f>사업장!O4</f>
        <v>세액2</v>
      </c>
      <c r="G3" s="17" t="str">
        <f>사업장!P4</f>
        <v>계산서2</v>
      </c>
      <c r="H3" s="16" t="str">
        <f>사업장!Q4</f>
        <v>세금계산서 수기업로드 진행여부</v>
      </c>
      <c r="I3" s="16" t="str">
        <f>사업장!R4</f>
        <v>계산서 수기업로드 진행여부</v>
      </c>
      <c r="J3" s="29" t="s">
        <v>206</v>
      </c>
    </row>
    <row r="4" spans="2:10" x14ac:dyDescent="0.4">
      <c r="B4" s="4" t="str">
        <f>사업장!B3</f>
        <v>W500</v>
      </c>
      <c r="C4" s="4" t="str">
        <f>사업장!C3</f>
        <v>㈜이랜드이츠</v>
      </c>
      <c r="D4" s="4">
        <f>사업장!D3</f>
        <v>5148601083</v>
      </c>
      <c r="E4" s="13" t="e">
        <f>사업장!N3</f>
        <v>#N/A</v>
      </c>
      <c r="F4" s="13" t="e">
        <f>사업장!O3</f>
        <v>#N/A</v>
      </c>
      <c r="G4" s="13" t="e">
        <f>사업장!P3</f>
        <v>#N/A</v>
      </c>
      <c r="H4" s="4" t="e">
        <f>사업장!Q3</f>
        <v>#N/A</v>
      </c>
      <c r="I4" s="4" t="e">
        <f>사업장!R3</f>
        <v>#N/A</v>
      </c>
      <c r="J4" t="e">
        <f>AND(H4=FALSE,I4=FALSE)</f>
        <v>#N/A</v>
      </c>
    </row>
    <row r="5" spans="2:10" x14ac:dyDescent="0.4">
      <c r="B5" s="4" t="str">
        <f>사업장!B5</f>
        <v>W009</v>
      </c>
      <c r="C5" s="4" t="str">
        <f>사업장!C5</f>
        <v>㈜이랜드이츠 압구정지점</v>
      </c>
      <c r="D5" s="4">
        <f>사업장!D5</f>
        <v>4518501238</v>
      </c>
      <c r="E5" s="13">
        <f>사업장!N5</f>
        <v>15471123264</v>
      </c>
      <c r="F5" s="13">
        <f>사업장!O5</f>
        <v>1547112127</v>
      </c>
      <c r="G5" s="13">
        <f>사업장!P5</f>
        <v>3872077882</v>
      </c>
      <c r="H5" s="4" t="b">
        <f>사업장!Q5</f>
        <v>1</v>
      </c>
      <c r="I5" s="4" t="b">
        <f>사업장!R5</f>
        <v>1</v>
      </c>
      <c r="J5" t="b">
        <f t="shared" ref="J5:J68" si="0">AND(H5=FALSE,I5=FALSE)</f>
        <v>0</v>
      </c>
    </row>
    <row r="6" spans="2:10" x14ac:dyDescent="0.4">
      <c r="B6" s="4" t="str">
        <f>사업장!B6</f>
        <v>W014</v>
      </c>
      <c r="C6" s="4" t="str">
        <f>사업장!C6</f>
        <v>주식회사 이랜드이츠 외식 부평공장</v>
      </c>
      <c r="D6" s="4">
        <f>사업장!D6</f>
        <v>3858501120</v>
      </c>
      <c r="E6" s="13">
        <f>사업장!N6</f>
        <v>85553347</v>
      </c>
      <c r="F6" s="13">
        <f>사업장!O6</f>
        <v>8555332</v>
      </c>
      <c r="G6" s="13">
        <f>사업장!P6</f>
        <v>0</v>
      </c>
      <c r="H6" s="4" t="b">
        <f>사업장!Q6</f>
        <v>1</v>
      </c>
      <c r="I6" s="4" t="b">
        <f>사업장!R6</f>
        <v>0</v>
      </c>
      <c r="J6" t="b">
        <f t="shared" si="0"/>
        <v>0</v>
      </c>
    </row>
    <row r="7" spans="2:10" x14ac:dyDescent="0.4">
      <c r="B7" s="4" t="e">
        <f>사업장!#REF!</f>
        <v>#REF!</v>
      </c>
      <c r="C7" s="4" t="e">
        <f>사업장!#REF!</f>
        <v>#REF!</v>
      </c>
      <c r="D7" s="4" t="e">
        <f>사업장!#REF!</f>
        <v>#REF!</v>
      </c>
      <c r="E7" s="13" t="e">
        <f>사업장!#REF!</f>
        <v>#REF!</v>
      </c>
      <c r="F7" s="13" t="e">
        <f>사업장!#REF!</f>
        <v>#REF!</v>
      </c>
      <c r="G7" s="13" t="e">
        <f>사업장!#REF!</f>
        <v>#REF!</v>
      </c>
      <c r="H7" s="4" t="e">
        <f>사업장!#REF!</f>
        <v>#REF!</v>
      </c>
      <c r="I7" s="4" t="e">
        <f>사업장!#REF!</f>
        <v>#REF!</v>
      </c>
      <c r="J7" t="e">
        <f t="shared" si="0"/>
        <v>#REF!</v>
      </c>
    </row>
    <row r="8" spans="2:10" x14ac:dyDescent="0.4">
      <c r="B8" s="4" t="str">
        <f>사업장!B7</f>
        <v>W504</v>
      </c>
      <c r="C8" s="4" t="str">
        <f>사업장!C7</f>
        <v>㈜이랜드이츠식품 광주공장</v>
      </c>
      <c r="D8" s="4">
        <f>사업장!D7</f>
        <v>3318501351</v>
      </c>
      <c r="E8" s="13">
        <f>사업장!N7</f>
        <v>208104279</v>
      </c>
      <c r="F8" s="13">
        <f>사업장!O7</f>
        <v>20810426</v>
      </c>
      <c r="G8" s="13">
        <f>사업장!P7</f>
        <v>529934385</v>
      </c>
      <c r="H8" s="4" t="b">
        <f>사업장!Q7</f>
        <v>1</v>
      </c>
      <c r="I8" s="4" t="b">
        <f>사업장!R7</f>
        <v>1</v>
      </c>
      <c r="J8" t="b">
        <f t="shared" si="0"/>
        <v>0</v>
      </c>
    </row>
    <row r="9" spans="2:10" x14ac:dyDescent="0.4">
      <c r="B9" s="4" t="str">
        <f>사업장!B8</f>
        <v>W505</v>
      </c>
      <c r="C9" s="4" t="str">
        <f>사업장!C8</f>
        <v>㈜이랜드이츠 기흥공장</v>
      </c>
      <c r="D9" s="4">
        <f>사업장!D8</f>
        <v>8858501256</v>
      </c>
      <c r="E9" s="13">
        <f>사업장!N8</f>
        <v>234467689</v>
      </c>
      <c r="F9" s="13">
        <f>사업장!O8</f>
        <v>23445569</v>
      </c>
      <c r="G9" s="13">
        <f>사업장!P8</f>
        <v>720000</v>
      </c>
      <c r="H9" s="4" t="b">
        <f>사업장!Q8</f>
        <v>1</v>
      </c>
      <c r="I9" s="4" t="b">
        <f>사업장!R8</f>
        <v>1</v>
      </c>
      <c r="J9" t="b">
        <f t="shared" si="0"/>
        <v>0</v>
      </c>
    </row>
    <row r="10" spans="2:10" x14ac:dyDescent="0.4">
      <c r="B10" s="4" t="str">
        <f>사업장!B9</f>
        <v>W506</v>
      </c>
      <c r="C10" s="4" t="str">
        <f>사업장!C9</f>
        <v>㈜이랜드이츠 피자몰,자연별곡 홍대2호점</v>
      </c>
      <c r="D10" s="4">
        <f>사업장!D9</f>
        <v>6758501080</v>
      </c>
      <c r="E10" s="13">
        <f>사업장!N9</f>
        <v>351099022</v>
      </c>
      <c r="F10" s="13">
        <f>사업장!O9</f>
        <v>35109645</v>
      </c>
      <c r="G10" s="13">
        <f>사업장!P9</f>
        <v>300000</v>
      </c>
      <c r="H10" s="4" t="b">
        <f>사업장!Q9</f>
        <v>1</v>
      </c>
      <c r="I10" s="4" t="b">
        <f>사업장!R9</f>
        <v>1</v>
      </c>
      <c r="J10" t="b">
        <f t="shared" si="0"/>
        <v>0</v>
      </c>
    </row>
    <row r="11" spans="2:10" x14ac:dyDescent="0.4">
      <c r="B11" s="4" t="str">
        <f>사업장!B10</f>
        <v>w507</v>
      </c>
      <c r="C11" s="4" t="str">
        <f>사업장!C10</f>
        <v>㈜이랜드이츠 로운홍대점</v>
      </c>
      <c r="D11" s="4">
        <f>사업장!D10</f>
        <v>3198501119</v>
      </c>
      <c r="E11" s="13">
        <f>사업장!N10</f>
        <v>111506858</v>
      </c>
      <c r="F11" s="13">
        <f>사업장!O10</f>
        <v>11150365</v>
      </c>
      <c r="G11" s="13">
        <f>사업장!P10</f>
        <v>300000</v>
      </c>
      <c r="H11" s="4" t="b">
        <f>사업장!Q10</f>
        <v>1</v>
      </c>
      <c r="I11" s="4" t="b">
        <f>사업장!R10</f>
        <v>1</v>
      </c>
      <c r="J11" t="b">
        <f t="shared" si="0"/>
        <v>0</v>
      </c>
    </row>
    <row r="12" spans="2:10" x14ac:dyDescent="0.4">
      <c r="B12" s="4" t="str">
        <f>사업장!B11</f>
        <v>W508</v>
      </c>
      <c r="C12" s="4" t="str">
        <f>사업장!C11</f>
        <v>㈜이랜드이츠 자연별곡,피자몰 신촌점</v>
      </c>
      <c r="D12" s="4">
        <f>사업장!D11</f>
        <v>5688501235</v>
      </c>
      <c r="E12" s="13">
        <f>사업장!N11</f>
        <v>155447101</v>
      </c>
      <c r="F12" s="13">
        <f>사업장!O11</f>
        <v>15544679</v>
      </c>
      <c r="G12" s="13">
        <f>사업장!P11</f>
        <v>252000</v>
      </c>
      <c r="H12" s="4" t="b">
        <f>사업장!Q11</f>
        <v>1</v>
      </c>
      <c r="I12" s="4" t="b">
        <f>사업장!R11</f>
        <v>1</v>
      </c>
      <c r="J12" t="b">
        <f t="shared" si="0"/>
        <v>0</v>
      </c>
    </row>
    <row r="13" spans="2:10" x14ac:dyDescent="0.4">
      <c r="B13" s="4" t="str">
        <f>사업장!B12</f>
        <v>W509</v>
      </c>
      <c r="C13" s="4" t="str">
        <f>사업장!C12</f>
        <v>㈜이랜드이츠 로운신촌점</v>
      </c>
      <c r="D13" s="4">
        <f>사업장!D12</f>
        <v>5168501044</v>
      </c>
      <c r="E13" s="13">
        <f>사업장!N12</f>
        <v>80618219</v>
      </c>
      <c r="F13" s="13">
        <f>사업장!O12</f>
        <v>8061818</v>
      </c>
      <c r="G13" s="13">
        <f>사업장!P12</f>
        <v>720000</v>
      </c>
      <c r="H13" s="4" t="b">
        <f>사업장!Q12</f>
        <v>1</v>
      </c>
      <c r="I13" s="4" t="b">
        <f>사업장!R12</f>
        <v>1</v>
      </c>
      <c r="J13" t="b">
        <f t="shared" si="0"/>
        <v>0</v>
      </c>
    </row>
    <row r="14" spans="2:10" x14ac:dyDescent="0.4">
      <c r="B14" s="4" t="str">
        <f>사업장!B13</f>
        <v>W510</v>
      </c>
      <c r="C14" s="4" t="str">
        <f>사업장!C13</f>
        <v>애슐리W 2001중계점</v>
      </c>
      <c r="D14" s="4">
        <f>사업장!D13</f>
        <v>7148501366</v>
      </c>
      <c r="E14" s="13">
        <f>사업장!N13</f>
        <v>147671345</v>
      </c>
      <c r="F14" s="13">
        <f>사업장!O13</f>
        <v>14767128</v>
      </c>
      <c r="G14" s="13">
        <f>사업장!P13</f>
        <v>0</v>
      </c>
      <c r="H14" s="4" t="b">
        <f>사업장!Q13</f>
        <v>1</v>
      </c>
      <c r="I14" s="4" t="b">
        <f>사업장!R13</f>
        <v>0</v>
      </c>
      <c r="J14" t="b">
        <f t="shared" si="0"/>
        <v>0</v>
      </c>
    </row>
    <row r="15" spans="2:10" x14ac:dyDescent="0.4">
      <c r="B15" s="4" t="str">
        <f>사업장!B14</f>
        <v>W511</v>
      </c>
      <c r="C15" s="4" t="str">
        <f>사업장!C14</f>
        <v>리미니2001중계점</v>
      </c>
      <c r="D15" s="4">
        <f>사업장!D14</f>
        <v>7348501297</v>
      </c>
      <c r="E15" s="13">
        <f>사업장!N14</f>
        <v>11881242</v>
      </c>
      <c r="F15" s="13">
        <f>사업장!O14</f>
        <v>1188020</v>
      </c>
      <c r="G15" s="13">
        <f>사업장!P14</f>
        <v>0</v>
      </c>
      <c r="H15" s="4" t="b">
        <f>사업장!Q14</f>
        <v>1</v>
      </c>
      <c r="I15" s="4" t="b">
        <f>사업장!R14</f>
        <v>0</v>
      </c>
      <c r="J15" t="b">
        <f t="shared" si="0"/>
        <v>0</v>
      </c>
    </row>
    <row r="16" spans="2:10" x14ac:dyDescent="0.4">
      <c r="B16" s="4" t="str">
        <f>사업장!B15</f>
        <v>W512</v>
      </c>
      <c r="C16" s="4" t="str">
        <f>사업장!C15</f>
        <v>㈜이랜드이츠 애슐리W 뉴코아동수원점</v>
      </c>
      <c r="D16" s="4">
        <f>사업장!D15</f>
        <v>3738501239</v>
      </c>
      <c r="E16" s="13">
        <f>사업장!N15</f>
        <v>101960215</v>
      </c>
      <c r="F16" s="13">
        <f>사업장!O15</f>
        <v>10196016</v>
      </c>
      <c r="G16" s="13">
        <f>사업장!P15</f>
        <v>210000</v>
      </c>
      <c r="H16" s="4" t="b">
        <f>사업장!Q15</f>
        <v>1</v>
      </c>
      <c r="I16" s="4" t="b">
        <f>사업장!R15</f>
        <v>1</v>
      </c>
      <c r="J16" t="b">
        <f t="shared" si="0"/>
        <v>0</v>
      </c>
    </row>
    <row r="17" spans="2:10" x14ac:dyDescent="0.4">
      <c r="B17" s="4" t="str">
        <f>사업장!B16</f>
        <v>W513</v>
      </c>
      <c r="C17" s="4" t="str">
        <f>사업장!C16</f>
        <v>㈜이랜드이츠 애슐리W뉴코아일산점</v>
      </c>
      <c r="D17" s="4">
        <f>사업장!D16</f>
        <v>5228501165</v>
      </c>
      <c r="E17" s="13">
        <f>사업장!N16</f>
        <v>78558350</v>
      </c>
      <c r="F17" s="13">
        <f>사업장!O16</f>
        <v>7855827</v>
      </c>
      <c r="G17" s="13">
        <f>사업장!P16</f>
        <v>0</v>
      </c>
      <c r="H17" s="4" t="b">
        <f>사업장!Q16</f>
        <v>1</v>
      </c>
      <c r="I17" s="4" t="b">
        <f>사업장!R16</f>
        <v>0</v>
      </c>
      <c r="J17" t="b">
        <f t="shared" si="0"/>
        <v>0</v>
      </c>
    </row>
    <row r="18" spans="2:10" x14ac:dyDescent="0.4">
      <c r="B18" s="4" t="str">
        <f>사업장!B17</f>
        <v>W514</v>
      </c>
      <c r="C18" s="4" t="str">
        <f>사업장!C17</f>
        <v>㈜이랜드이츠 자연별곡뉴코아일산점</v>
      </c>
      <c r="D18" s="4">
        <f>사업장!D17</f>
        <v>4598501208</v>
      </c>
      <c r="E18" s="13">
        <f>사업장!N17</f>
        <v>29398466</v>
      </c>
      <c r="F18" s="13">
        <f>사업장!O17</f>
        <v>2939853</v>
      </c>
      <c r="G18" s="13">
        <f>사업장!P17</f>
        <v>0</v>
      </c>
      <c r="H18" s="4" t="b">
        <f>사업장!Q17</f>
        <v>1</v>
      </c>
      <c r="I18" s="4" t="b">
        <f>사업장!R17</f>
        <v>0</v>
      </c>
      <c r="J18" t="b">
        <f t="shared" si="0"/>
        <v>0</v>
      </c>
    </row>
    <row r="19" spans="2:10" x14ac:dyDescent="0.4">
      <c r="B19" s="4" t="str">
        <f>사업장!B18</f>
        <v>W515</v>
      </c>
      <c r="C19" s="4" t="str">
        <f>사업장!C18</f>
        <v>㈜이랜드이츠 리미니뉴코아일산점</v>
      </c>
      <c r="D19" s="4">
        <f>사업장!D18</f>
        <v>7438501137</v>
      </c>
      <c r="E19" s="13">
        <f>사업장!N18</f>
        <v>24010305</v>
      </c>
      <c r="F19" s="13">
        <f>사업장!O18</f>
        <v>2400945</v>
      </c>
      <c r="G19" s="13">
        <f>사업장!P18</f>
        <v>0</v>
      </c>
      <c r="H19" s="4" t="b">
        <f>사업장!Q18</f>
        <v>1</v>
      </c>
      <c r="I19" s="4" t="b">
        <f>사업장!R18</f>
        <v>0</v>
      </c>
      <c r="J19" t="b">
        <f t="shared" si="0"/>
        <v>0</v>
      </c>
    </row>
    <row r="20" spans="2:10" x14ac:dyDescent="0.4">
      <c r="B20" s="4" t="str">
        <f>사업장!B19</f>
        <v>W516</v>
      </c>
      <c r="C20" s="4" t="str">
        <f>사업장!C19</f>
        <v>㈜이랜드이츠 프랑제리2001분당점</v>
      </c>
      <c r="D20" s="4">
        <f>사업장!D19</f>
        <v>7318501212</v>
      </c>
      <c r="E20" s="13">
        <f>사업장!N19</f>
        <v>7208406</v>
      </c>
      <c r="F20" s="13">
        <f>사업장!O19</f>
        <v>720837</v>
      </c>
      <c r="G20" s="13">
        <f>사업장!P19</f>
        <v>0</v>
      </c>
      <c r="H20" s="4" t="b">
        <f>사업장!Q19</f>
        <v>1</v>
      </c>
      <c r="I20" s="4" t="b">
        <f>사업장!R19</f>
        <v>0</v>
      </c>
      <c r="J20" t="b">
        <f t="shared" si="0"/>
        <v>0</v>
      </c>
    </row>
    <row r="21" spans="2:10" x14ac:dyDescent="0.4">
      <c r="B21" s="4" t="str">
        <f>사업장!B20</f>
        <v>W517</v>
      </c>
      <c r="C21" s="4" t="str">
        <f>사업장!C20</f>
        <v>㈜이랜드이츠 반궁2001분당점</v>
      </c>
      <c r="D21" s="4">
        <f>사업장!D20</f>
        <v>7738501142</v>
      </c>
      <c r="E21" s="13">
        <f>사업장!N20</f>
        <v>10290286</v>
      </c>
      <c r="F21" s="13">
        <f>사업장!O20</f>
        <v>1029025</v>
      </c>
      <c r="G21" s="13">
        <f>사업장!P20</f>
        <v>0</v>
      </c>
      <c r="H21" s="4" t="b">
        <f>사업장!Q20</f>
        <v>1</v>
      </c>
      <c r="I21" s="4" t="b">
        <f>사업장!R20</f>
        <v>0</v>
      </c>
      <c r="J21" t="b">
        <f t="shared" si="0"/>
        <v>0</v>
      </c>
    </row>
    <row r="22" spans="2:10" x14ac:dyDescent="0.4">
      <c r="B22" s="4" t="str">
        <f>사업장!B21</f>
        <v>w518</v>
      </c>
      <c r="C22" s="4" t="str">
        <f>사업장!C21</f>
        <v>㈜이랜드이츠 리미니2001분당점</v>
      </c>
      <c r="D22" s="4">
        <f>사업장!D21</f>
        <v>7128501093</v>
      </c>
      <c r="E22" s="13">
        <f>사업장!N21</f>
        <v>25751716</v>
      </c>
      <c r="F22" s="13">
        <f>사업장!O21</f>
        <v>2575104</v>
      </c>
      <c r="G22" s="13">
        <f>사업장!P21</f>
        <v>0</v>
      </c>
      <c r="H22" s="4" t="b">
        <f>사업장!Q21</f>
        <v>1</v>
      </c>
      <c r="I22" s="4" t="b">
        <f>사업장!R21</f>
        <v>0</v>
      </c>
      <c r="J22" t="b">
        <f t="shared" si="0"/>
        <v>0</v>
      </c>
    </row>
    <row r="23" spans="2:10" x14ac:dyDescent="0.4">
      <c r="B23" s="4" t="str">
        <f>사업장!B22</f>
        <v>W519</v>
      </c>
      <c r="C23" s="4" t="str">
        <f>사업장!C22</f>
        <v>㈜이랜드이츠 애슐리뉴코아인천점</v>
      </c>
      <c r="D23" s="4">
        <f>사업장!D22</f>
        <v>6928501329</v>
      </c>
      <c r="E23" s="13">
        <f>사업장!N22</f>
        <v>202168950</v>
      </c>
      <c r="F23" s="13">
        <f>사업장!O22</f>
        <v>20216787</v>
      </c>
      <c r="G23" s="13">
        <f>사업장!P22</f>
        <v>0</v>
      </c>
      <c r="H23" s="4" t="b">
        <f>사업장!Q22</f>
        <v>1</v>
      </c>
      <c r="I23" s="4" t="b">
        <f>사업장!R22</f>
        <v>0</v>
      </c>
      <c r="J23" t="b">
        <f t="shared" si="0"/>
        <v>0</v>
      </c>
    </row>
    <row r="24" spans="2:10" x14ac:dyDescent="0.4">
      <c r="B24" s="4" t="str">
        <f>사업장!B23</f>
        <v>W521</v>
      </c>
      <c r="C24" s="4" t="str">
        <f>사업장!C23</f>
        <v>㈜이랜드이츠 반궁뉴코아인천점</v>
      </c>
      <c r="D24" s="4">
        <f>사업장!D23</f>
        <v>7748501131</v>
      </c>
      <c r="E24" s="13">
        <f>사업장!N23</f>
        <v>13166594</v>
      </c>
      <c r="F24" s="13">
        <f>사업장!O23</f>
        <v>1316657</v>
      </c>
      <c r="G24" s="13">
        <f>사업장!P23</f>
        <v>0</v>
      </c>
      <c r="H24" s="4" t="b">
        <f>사업장!Q23</f>
        <v>1</v>
      </c>
      <c r="I24" s="4" t="b">
        <f>사업장!R23</f>
        <v>0</v>
      </c>
      <c r="J24" t="b">
        <f t="shared" si="0"/>
        <v>0</v>
      </c>
    </row>
    <row r="25" spans="2:10" x14ac:dyDescent="0.4">
      <c r="B25" s="4" t="str">
        <f>사업장!B24</f>
        <v>w522</v>
      </c>
      <c r="C25" s="4" t="str">
        <f>사업장!C24</f>
        <v>㈜이랜드이츠 아시아문뉴코아인천점</v>
      </c>
      <c r="D25" s="4">
        <f>사업장!D24</f>
        <v>8318501040</v>
      </c>
      <c r="E25" s="13">
        <f>사업장!N24</f>
        <v>36364383</v>
      </c>
      <c r="F25" s="13">
        <f>사업장!O24</f>
        <v>3636414</v>
      </c>
      <c r="G25" s="13">
        <f>사업장!P24</f>
        <v>0</v>
      </c>
      <c r="H25" s="4" t="b">
        <f>사업장!Q24</f>
        <v>1</v>
      </c>
      <c r="I25" s="4" t="b">
        <f>사업장!R24</f>
        <v>0</v>
      </c>
      <c r="J25" t="b">
        <f t="shared" si="0"/>
        <v>0</v>
      </c>
    </row>
    <row r="26" spans="2:10" x14ac:dyDescent="0.4">
      <c r="B26" s="4" t="str">
        <f>사업장!B25</f>
        <v>W523</v>
      </c>
      <c r="C26" s="4" t="str">
        <f>사업장!C25</f>
        <v>㈜이랜드이츠 리미니뉴코아인천점</v>
      </c>
      <c r="D26" s="4">
        <f>사업장!D25</f>
        <v>7298501126</v>
      </c>
      <c r="E26" s="13">
        <f>사업장!N25</f>
        <v>26551294</v>
      </c>
      <c r="F26" s="13">
        <f>사업장!O25</f>
        <v>2655052</v>
      </c>
      <c r="G26" s="13">
        <f>사업장!P25</f>
        <v>0</v>
      </c>
      <c r="H26" s="4" t="b">
        <f>사업장!Q25</f>
        <v>1</v>
      </c>
      <c r="I26" s="4" t="b">
        <f>사업장!R25</f>
        <v>0</v>
      </c>
      <c r="J26" t="b">
        <f t="shared" si="0"/>
        <v>0</v>
      </c>
    </row>
    <row r="27" spans="2:10" x14ac:dyDescent="0.4">
      <c r="B27" s="4" t="str">
        <f>사업장!B26</f>
        <v>W524</v>
      </c>
      <c r="C27" s="4" t="str">
        <f>사업장!C26</f>
        <v>㈜이랜드이츠 수사뉴코아인천점</v>
      </c>
      <c r="D27" s="4">
        <f>사업장!D26</f>
        <v>5538501228</v>
      </c>
      <c r="E27" s="13">
        <f>사업장!N26</f>
        <v>4672607</v>
      </c>
      <c r="F27" s="13">
        <f>사업장!O26</f>
        <v>467257</v>
      </c>
      <c r="G27" s="13">
        <f>사업장!P26</f>
        <v>0</v>
      </c>
      <c r="H27" s="4" t="b">
        <f>사업장!Q26</f>
        <v>1</v>
      </c>
      <c r="I27" s="4" t="b">
        <f>사업장!R26</f>
        <v>0</v>
      </c>
      <c r="J27" t="b">
        <f t="shared" si="0"/>
        <v>0</v>
      </c>
    </row>
    <row r="28" spans="2:10" x14ac:dyDescent="0.4">
      <c r="B28" s="4" t="str">
        <f>사업장!B27</f>
        <v>w525</v>
      </c>
      <c r="C28" s="4" t="str">
        <f>사업장!C27</f>
        <v>㈜이랜드이츠 테루뉴코아인천점</v>
      </c>
      <c r="D28" s="4">
        <f>사업장!D27</f>
        <v>6698501450</v>
      </c>
      <c r="E28" s="13">
        <f>사업장!N27</f>
        <v>15636143</v>
      </c>
      <c r="F28" s="13">
        <f>사업장!O27</f>
        <v>1563605</v>
      </c>
      <c r="G28" s="13">
        <f>사업장!P27</f>
        <v>0</v>
      </c>
      <c r="H28" s="4" t="b">
        <f>사업장!Q27</f>
        <v>1</v>
      </c>
      <c r="I28" s="4" t="b">
        <f>사업장!R27</f>
        <v>0</v>
      </c>
      <c r="J28" t="b">
        <f t="shared" si="0"/>
        <v>0</v>
      </c>
    </row>
    <row r="29" spans="2:10" x14ac:dyDescent="0.4">
      <c r="B29" s="4" t="str">
        <f>사업장!B28</f>
        <v>w526</v>
      </c>
      <c r="C29" s="4" t="str">
        <f>사업장!C28</f>
        <v>애슐리 평촌 뉴코아 아울렛점</v>
      </c>
      <c r="D29" s="4">
        <f>사업장!D28</f>
        <v>3408501132</v>
      </c>
      <c r="E29" s="13">
        <f>사업장!N28</f>
        <v>92958005</v>
      </c>
      <c r="F29" s="13">
        <f>사업장!O28</f>
        <v>9295797</v>
      </c>
      <c r="G29" s="13">
        <f>사업장!P28</f>
        <v>0</v>
      </c>
      <c r="H29" s="4" t="b">
        <f>사업장!Q28</f>
        <v>1</v>
      </c>
      <c r="I29" s="4" t="b">
        <f>사업장!R28</f>
        <v>0</v>
      </c>
      <c r="J29" t="b">
        <f t="shared" si="0"/>
        <v>0</v>
      </c>
    </row>
    <row r="30" spans="2:10" x14ac:dyDescent="0.4">
      <c r="B30" s="4" t="str">
        <f>사업장!B29</f>
        <v>W528</v>
      </c>
      <c r="C30" s="4" t="str">
        <f>사업장!C29</f>
        <v>㈜이랜드이츠 자연별곡 뉴코아 평촌점</v>
      </c>
      <c r="D30" s="4">
        <f>사업장!D29</f>
        <v>7118501130</v>
      </c>
      <c r="E30" s="13">
        <f>사업장!N29</f>
        <v>41954334</v>
      </c>
      <c r="F30" s="13">
        <f>사업장!O29</f>
        <v>4195437</v>
      </c>
      <c r="G30" s="13">
        <f>사업장!P29</f>
        <v>999000</v>
      </c>
      <c r="H30" s="4" t="b">
        <f>사업장!Q29</f>
        <v>1</v>
      </c>
      <c r="I30" s="4" t="b">
        <f>사업장!R29</f>
        <v>1</v>
      </c>
      <c r="J30" t="b">
        <f t="shared" si="0"/>
        <v>0</v>
      </c>
    </row>
    <row r="31" spans="2:10" x14ac:dyDescent="0.4">
      <c r="B31" s="4" t="str">
        <f>사업장!B30</f>
        <v>W529</v>
      </c>
      <c r="C31" s="4" t="str">
        <f>사업장!C30</f>
        <v>㈜이랜드이츠 뉴코아아울렛반궁평촌점</v>
      </c>
      <c r="D31" s="4">
        <f>사업장!D30</f>
        <v>8148500954</v>
      </c>
      <c r="E31" s="13">
        <f>사업장!N30</f>
        <v>12769855</v>
      </c>
      <c r="F31" s="13">
        <f>사업장!O30</f>
        <v>1276965</v>
      </c>
      <c r="G31" s="13">
        <f>사업장!P30</f>
        <v>72000</v>
      </c>
      <c r="H31" s="4" t="b">
        <f>사업장!Q30</f>
        <v>1</v>
      </c>
      <c r="I31" s="4" t="b">
        <f>사업장!R30</f>
        <v>1</v>
      </c>
      <c r="J31" t="b">
        <f t="shared" si="0"/>
        <v>0</v>
      </c>
    </row>
    <row r="32" spans="2:10" x14ac:dyDescent="0.4">
      <c r="B32" s="4" t="str">
        <f>사업장!B31</f>
        <v>W530</v>
      </c>
      <c r="C32" s="4" t="str">
        <f>사업장!C31</f>
        <v>㈜이랜드이츠 리미니 평촌아울렛점</v>
      </c>
      <c r="D32" s="4">
        <f>사업장!D31</f>
        <v>4898501228</v>
      </c>
      <c r="E32" s="13">
        <f>사업장!N31</f>
        <v>20546355</v>
      </c>
      <c r="F32" s="13">
        <f>사업장!O31</f>
        <v>2054602</v>
      </c>
      <c r="G32" s="13">
        <f>사업장!P31</f>
        <v>0</v>
      </c>
      <c r="H32" s="4" t="b">
        <f>사업장!Q31</f>
        <v>1</v>
      </c>
      <c r="I32" s="4" t="b">
        <f>사업장!R31</f>
        <v>0</v>
      </c>
      <c r="J32" t="b">
        <f t="shared" si="0"/>
        <v>0</v>
      </c>
    </row>
    <row r="33" spans="2:10" x14ac:dyDescent="0.4">
      <c r="B33" s="4" t="str">
        <f>사업장!B32</f>
        <v>w531</v>
      </c>
      <c r="C33" s="4" t="str">
        <f>사업장!C32</f>
        <v>수사 뉴코아 평촌점</v>
      </c>
      <c r="D33" s="4">
        <f>사업장!D32</f>
        <v>8728501153</v>
      </c>
      <c r="E33" s="13">
        <f>사업장!N32</f>
        <v>59168889</v>
      </c>
      <c r="F33" s="13">
        <f>사업장!O32</f>
        <v>5916889</v>
      </c>
      <c r="G33" s="13">
        <f>사업장!P32</f>
        <v>0</v>
      </c>
      <c r="H33" s="4" t="b">
        <f>사업장!Q32</f>
        <v>1</v>
      </c>
      <c r="I33" s="4" t="b">
        <f>사업장!R32</f>
        <v>0</v>
      </c>
      <c r="J33" t="b">
        <f t="shared" si="0"/>
        <v>0</v>
      </c>
    </row>
    <row r="34" spans="2:10" x14ac:dyDescent="0.4">
      <c r="B34" s="4" t="str">
        <f>사업장!B33</f>
        <v>W532</v>
      </c>
      <c r="C34" s="4" t="str">
        <f>사업장!C33</f>
        <v>주식회사 이랜드이츠 자연별곡뉴코아평택점</v>
      </c>
      <c r="D34" s="4">
        <f>사업장!D33</f>
        <v>1308569632</v>
      </c>
      <c r="E34" s="13">
        <f>사업장!N33</f>
        <v>62069802</v>
      </c>
      <c r="F34" s="13">
        <f>사업장!O33</f>
        <v>6206979</v>
      </c>
      <c r="G34" s="13">
        <f>사업장!P33</f>
        <v>0</v>
      </c>
      <c r="H34" s="4" t="b">
        <f>사업장!Q33</f>
        <v>1</v>
      </c>
      <c r="I34" s="4" t="b">
        <f>사업장!R33</f>
        <v>0</v>
      </c>
      <c r="J34" t="b">
        <f t="shared" si="0"/>
        <v>0</v>
      </c>
    </row>
    <row r="35" spans="2:10" x14ac:dyDescent="0.4">
      <c r="B35" s="4" t="str">
        <f>사업장!B34</f>
        <v>W533</v>
      </c>
      <c r="C35" s="4" t="str">
        <f>사업장!C34</f>
        <v>㈜이랜드이츠 다구오 뉴코아 강남점</v>
      </c>
      <c r="D35" s="4">
        <f>사업장!D34</f>
        <v>7138501228</v>
      </c>
      <c r="E35" s="13">
        <f>사업장!N34</f>
        <v>27941286</v>
      </c>
      <c r="F35" s="13">
        <f>사업장!O34</f>
        <v>2794095</v>
      </c>
      <c r="G35" s="13">
        <f>사업장!P34</f>
        <v>267600</v>
      </c>
      <c r="H35" s="4" t="b">
        <f>사업장!Q34</f>
        <v>1</v>
      </c>
      <c r="I35" s="4" t="b">
        <f>사업장!R34</f>
        <v>1</v>
      </c>
      <c r="J35" t="b">
        <f t="shared" si="0"/>
        <v>0</v>
      </c>
    </row>
    <row r="36" spans="2:10" x14ac:dyDescent="0.4">
      <c r="B36" s="4" t="str">
        <f>사업장!B35</f>
        <v>W534</v>
      </c>
      <c r="C36" s="4" t="str">
        <f>사업장!C35</f>
        <v>주식회사 이랜드이츠 프랑제리 뉴코아 강남점</v>
      </c>
      <c r="D36" s="4">
        <f>사업장!D35</f>
        <v>1818501251</v>
      </c>
      <c r="E36" s="13">
        <f>사업장!N35</f>
        <v>15788011</v>
      </c>
      <c r="F36" s="13">
        <f>사업장!O35</f>
        <v>1578599</v>
      </c>
      <c r="G36" s="13">
        <f>사업장!P35</f>
        <v>0</v>
      </c>
      <c r="H36" s="4" t="b">
        <f>사업장!Q35</f>
        <v>1</v>
      </c>
      <c r="I36" s="4" t="b">
        <f>사업장!R35</f>
        <v>0</v>
      </c>
      <c r="J36" t="b">
        <f t="shared" si="0"/>
        <v>0</v>
      </c>
    </row>
    <row r="37" spans="2:10" x14ac:dyDescent="0.4">
      <c r="B37" s="4" t="str">
        <f>사업장!B36</f>
        <v>W535</v>
      </c>
      <c r="C37" s="4" t="str">
        <f>사업장!C36</f>
        <v>㈜이랜드이츠 후원 뉴코아 강남점</v>
      </c>
      <c r="D37" s="4">
        <f>사업장!D36</f>
        <v>3998501186</v>
      </c>
      <c r="E37" s="13">
        <f>사업장!N36</f>
        <v>7661398</v>
      </c>
      <c r="F37" s="13">
        <f>사업장!O36</f>
        <v>766141</v>
      </c>
      <c r="G37" s="13">
        <f>사업장!P36</f>
        <v>40000</v>
      </c>
      <c r="H37" s="4" t="b">
        <f>사업장!Q36</f>
        <v>1</v>
      </c>
      <c r="I37" s="4" t="b">
        <f>사업장!R36</f>
        <v>1</v>
      </c>
      <c r="J37" t="b">
        <f t="shared" si="0"/>
        <v>0</v>
      </c>
    </row>
    <row r="38" spans="2:10" x14ac:dyDescent="0.4">
      <c r="B38" s="4" t="str">
        <f>사업장!B37</f>
        <v>W536</v>
      </c>
      <c r="C38" s="4" t="str">
        <f>사업장!C37</f>
        <v>㈜이랜드이츠 자연별곡 뉴코아 강남점</v>
      </c>
      <c r="D38" s="4">
        <f>사업장!D37</f>
        <v>3608501193</v>
      </c>
      <c r="E38" s="13">
        <f>사업장!N37</f>
        <v>8077481</v>
      </c>
      <c r="F38" s="13">
        <f>사업장!O37</f>
        <v>807748</v>
      </c>
      <c r="G38" s="13">
        <f>사업장!P37</f>
        <v>68000</v>
      </c>
      <c r="H38" s="4" t="b">
        <f>사업장!Q37</f>
        <v>1</v>
      </c>
      <c r="I38" s="4" t="b">
        <f>사업장!R37</f>
        <v>1</v>
      </c>
      <c r="J38" t="b">
        <f t="shared" si="0"/>
        <v>0</v>
      </c>
    </row>
    <row r="39" spans="2:10" x14ac:dyDescent="0.4">
      <c r="B39" s="4" t="str">
        <f>사업장!B38</f>
        <v>W537</v>
      </c>
      <c r="C39" s="4" t="str">
        <f>사업장!C38</f>
        <v>주식회사 이랜드이츠 반궁뉴코아 강남점</v>
      </c>
      <c r="D39" s="4">
        <f>사업장!D38</f>
        <v>7458501171</v>
      </c>
      <c r="E39" s="13">
        <f>사업장!N38</f>
        <v>27925050</v>
      </c>
      <c r="F39" s="13">
        <f>사업장!O38</f>
        <v>2792494</v>
      </c>
      <c r="G39" s="13">
        <f>사업장!P38</f>
        <v>0</v>
      </c>
      <c r="H39" s="4" t="b">
        <f>사업장!Q38</f>
        <v>1</v>
      </c>
      <c r="I39" s="4" t="b">
        <f>사업장!R38</f>
        <v>0</v>
      </c>
      <c r="J39" t="b">
        <f t="shared" si="0"/>
        <v>0</v>
      </c>
    </row>
    <row r="40" spans="2:10" x14ac:dyDescent="0.4">
      <c r="B40" s="4" t="str">
        <f>사업장!B39</f>
        <v>W538</v>
      </c>
      <c r="C40" s="4" t="str">
        <f>사업장!C39</f>
        <v>㈜이랜드이츠 아시아문 뉴코아 강남점</v>
      </c>
      <c r="D40" s="4">
        <f>사업장!D39</f>
        <v>7348501278</v>
      </c>
      <c r="E40" s="13">
        <f>사업장!N39</f>
        <v>17698122</v>
      </c>
      <c r="F40" s="13">
        <f>사업장!O39</f>
        <v>1769811</v>
      </c>
      <c r="G40" s="13">
        <f>사업장!P39</f>
        <v>0</v>
      </c>
      <c r="H40" s="4" t="b">
        <f>사업장!Q39</f>
        <v>1</v>
      </c>
      <c r="I40" s="4" t="b">
        <f>사업장!R39</f>
        <v>0</v>
      </c>
      <c r="J40" t="b">
        <f t="shared" si="0"/>
        <v>0</v>
      </c>
    </row>
    <row r="41" spans="2:10" x14ac:dyDescent="0.4">
      <c r="B41" s="4" t="str">
        <f>사업장!B40</f>
        <v>W539</v>
      </c>
      <c r="C41" s="4" t="str">
        <f>사업장!C40</f>
        <v>주식회사 이랜드이츠 페르케노 뉴코아 강남점</v>
      </c>
      <c r="D41" s="4">
        <f>사업장!D40</f>
        <v>5978501214</v>
      </c>
      <c r="E41" s="13">
        <f>사업장!N40</f>
        <v>9090562</v>
      </c>
      <c r="F41" s="13">
        <f>사업장!O40</f>
        <v>909055</v>
      </c>
      <c r="G41" s="13">
        <f>사업장!P40</f>
        <v>0</v>
      </c>
      <c r="H41" s="4" t="b">
        <f>사업장!Q40</f>
        <v>1</v>
      </c>
      <c r="I41" s="4" t="b">
        <f>사업장!R40</f>
        <v>0</v>
      </c>
      <c r="J41" t="b">
        <f t="shared" si="0"/>
        <v>0</v>
      </c>
    </row>
    <row r="42" spans="2:10" x14ac:dyDescent="0.4">
      <c r="B42" s="4" t="str">
        <f>사업장!B41</f>
        <v>W540</v>
      </c>
      <c r="C42" s="4" t="str">
        <f>사업장!C41</f>
        <v>㈜이랜드이츠 피자몰뉴코아 강남점</v>
      </c>
      <c r="D42" s="4">
        <f>사업장!D41</f>
        <v>8488500923</v>
      </c>
      <c r="E42" s="13">
        <f>사업장!N41</f>
        <v>35328729</v>
      </c>
      <c r="F42" s="13">
        <f>사업장!O41</f>
        <v>3532859</v>
      </c>
      <c r="G42" s="13">
        <f>사업장!P41</f>
        <v>0</v>
      </c>
      <c r="H42" s="4" t="b">
        <f>사업장!Q41</f>
        <v>1</v>
      </c>
      <c r="I42" s="4" t="b">
        <f>사업장!R41</f>
        <v>0</v>
      </c>
      <c r="J42" t="b">
        <f t="shared" si="0"/>
        <v>0</v>
      </c>
    </row>
    <row r="43" spans="2:10" x14ac:dyDescent="0.4">
      <c r="B43" s="4" t="str">
        <f>사업장!B42</f>
        <v>W541</v>
      </c>
      <c r="C43" s="4" t="str">
        <f>사업장!C42</f>
        <v>㈜이랜드이츠 리미니 뉴코아강남점</v>
      </c>
      <c r="D43" s="4">
        <f>사업장!D42</f>
        <v>4748501231</v>
      </c>
      <c r="E43" s="13">
        <f>사업장!N42</f>
        <v>52422180</v>
      </c>
      <c r="F43" s="13">
        <f>사업장!O42</f>
        <v>5241945</v>
      </c>
      <c r="G43" s="13">
        <f>사업장!P42</f>
        <v>200000</v>
      </c>
      <c r="H43" s="4" t="b">
        <f>사업장!Q42</f>
        <v>1</v>
      </c>
      <c r="I43" s="4" t="b">
        <f>사업장!R42</f>
        <v>1</v>
      </c>
      <c r="J43" t="b">
        <f t="shared" si="0"/>
        <v>0</v>
      </c>
    </row>
    <row r="44" spans="2:10" x14ac:dyDescent="0.4">
      <c r="B44" s="4" t="str">
        <f>사업장!B43</f>
        <v>W542</v>
      </c>
      <c r="C44" s="4" t="str">
        <f>사업장!C43</f>
        <v>㈜이랜드이츠 로운 뉴코아 강남점</v>
      </c>
      <c r="D44" s="4">
        <f>사업장!D43</f>
        <v>2498501052</v>
      </c>
      <c r="E44" s="13">
        <f>사업장!N43</f>
        <v>36067975</v>
      </c>
      <c r="F44" s="13">
        <f>사업장!O43</f>
        <v>3606786</v>
      </c>
      <c r="G44" s="13">
        <f>사업장!P43</f>
        <v>744000</v>
      </c>
      <c r="H44" s="4" t="b">
        <f>사업장!Q43</f>
        <v>1</v>
      </c>
      <c r="I44" s="4" t="b">
        <f>사업장!R43</f>
        <v>1</v>
      </c>
      <c r="J44" t="b">
        <f t="shared" si="0"/>
        <v>0</v>
      </c>
    </row>
    <row r="45" spans="2:10" x14ac:dyDescent="0.4">
      <c r="B45" s="4" t="str">
        <f>사업장!B44</f>
        <v>W543</v>
      </c>
      <c r="C45" s="4" t="str">
        <f>사업장!C44</f>
        <v>㈜이랜드이츠 수사 뉴코아 강남점</v>
      </c>
      <c r="D45" s="4">
        <f>사업장!D44</f>
        <v>4948501292</v>
      </c>
      <c r="E45" s="13">
        <f>사업장!N44</f>
        <v>58141194</v>
      </c>
      <c r="F45" s="13">
        <f>사업장!O44</f>
        <v>5814116</v>
      </c>
      <c r="G45" s="13">
        <f>사업장!P44</f>
        <v>80000</v>
      </c>
      <c r="H45" s="4" t="b">
        <f>사업장!Q44</f>
        <v>1</v>
      </c>
      <c r="I45" s="4" t="b">
        <f>사업장!R44</f>
        <v>1</v>
      </c>
      <c r="J45" t="b">
        <f t="shared" si="0"/>
        <v>0</v>
      </c>
    </row>
    <row r="46" spans="2:10" x14ac:dyDescent="0.4">
      <c r="B46" s="4" t="str">
        <f>사업장!B45</f>
        <v>W544</v>
      </c>
      <c r="C46" s="4" t="str">
        <f>사업장!C45</f>
        <v>주식회사 이랜드이츠 더카페뉴코아 강남점3층</v>
      </c>
      <c r="D46" s="4">
        <f>사업장!D45</f>
        <v>6438501313</v>
      </c>
      <c r="E46" s="13">
        <f>사업장!N45</f>
        <v>423447</v>
      </c>
      <c r="F46" s="13">
        <f>사업장!O45</f>
        <v>42344</v>
      </c>
      <c r="G46" s="13">
        <f>사업장!P45</f>
        <v>50000</v>
      </c>
      <c r="H46" s="4" t="b">
        <f>사업장!Q45</f>
        <v>1</v>
      </c>
      <c r="I46" s="4" t="b">
        <f>사업장!R45</f>
        <v>1</v>
      </c>
      <c r="J46" t="b">
        <f t="shared" si="0"/>
        <v>0</v>
      </c>
    </row>
    <row r="47" spans="2:10" x14ac:dyDescent="0.4">
      <c r="B47" s="4" t="str">
        <f>사업장!B46</f>
        <v>w546</v>
      </c>
      <c r="C47" s="4" t="str">
        <f>사업장!C46</f>
        <v>주식회사 이랜드이츠 테루뉴코아 강남점</v>
      </c>
      <c r="D47" s="4">
        <f>사업장!D46</f>
        <v>1068544773</v>
      </c>
      <c r="E47" s="13">
        <f>사업장!N46</f>
        <v>25509763</v>
      </c>
      <c r="F47" s="13">
        <f>사업장!O46</f>
        <v>2550972</v>
      </c>
      <c r="G47" s="13">
        <f>사업장!P46</f>
        <v>0</v>
      </c>
      <c r="H47" s="4" t="b">
        <f>사업장!Q46</f>
        <v>1</v>
      </c>
      <c r="I47" s="4" t="b">
        <f>사업장!R46</f>
        <v>0</v>
      </c>
      <c r="J47" t="b">
        <f t="shared" si="0"/>
        <v>0</v>
      </c>
    </row>
    <row r="48" spans="2:10" x14ac:dyDescent="0.4">
      <c r="B48" s="4" t="str">
        <f>사업장!B47</f>
        <v>w547</v>
      </c>
      <c r="C48" s="4" t="str">
        <f>사업장!C47</f>
        <v>㈜이랜드이츠 애슐리W NC야탑점</v>
      </c>
      <c r="D48" s="4">
        <f>사업장!D47</f>
        <v>6318501227</v>
      </c>
      <c r="E48" s="13">
        <f>사업장!N47</f>
        <v>75497516</v>
      </c>
      <c r="F48" s="13">
        <f>사업장!O47</f>
        <v>7549758</v>
      </c>
      <c r="G48" s="13">
        <f>사업장!P47</f>
        <v>0</v>
      </c>
      <c r="H48" s="4" t="b">
        <f>사업장!Q47</f>
        <v>1</v>
      </c>
      <c r="I48" s="4" t="b">
        <f>사업장!R47</f>
        <v>0</v>
      </c>
      <c r="J48" t="b">
        <f t="shared" si="0"/>
        <v>0</v>
      </c>
    </row>
    <row r="49" spans="2:10" x14ac:dyDescent="0.4">
      <c r="B49" s="4" t="str">
        <f>사업장!B48</f>
        <v>W548</v>
      </c>
      <c r="C49" s="4" t="str">
        <f>사업장!C48</f>
        <v>㈜이랜드이츠 프랑제리 NC야탑점</v>
      </c>
      <c r="D49" s="4">
        <f>사업장!D48</f>
        <v>5958501182</v>
      </c>
      <c r="E49" s="13">
        <f>사업장!N48</f>
        <v>11479737</v>
      </c>
      <c r="F49" s="13">
        <f>사업장!O48</f>
        <v>1147764</v>
      </c>
      <c r="G49" s="13">
        <f>사업장!P48</f>
        <v>0</v>
      </c>
      <c r="H49" s="4" t="b">
        <f>사업장!Q48</f>
        <v>1</v>
      </c>
      <c r="I49" s="4" t="b">
        <f>사업장!R48</f>
        <v>0</v>
      </c>
      <c r="J49" t="b">
        <f t="shared" si="0"/>
        <v>0</v>
      </c>
    </row>
    <row r="50" spans="2:10" x14ac:dyDescent="0.4">
      <c r="B50" s="4" t="str">
        <f>사업장!B49</f>
        <v>W549</v>
      </c>
      <c r="C50" s="4" t="str">
        <f>사업장!C49</f>
        <v>㈜이랜드이츠 후원NC야탑점</v>
      </c>
      <c r="D50" s="4">
        <f>사업장!D49</f>
        <v>8038501287</v>
      </c>
      <c r="E50" s="13">
        <f>사업장!N49</f>
        <v>11257623</v>
      </c>
      <c r="F50" s="13">
        <f>사업장!O49</f>
        <v>1125765</v>
      </c>
      <c r="G50" s="13">
        <f>사업장!P49</f>
        <v>80000</v>
      </c>
      <c r="H50" s="4" t="b">
        <f>사업장!Q49</f>
        <v>1</v>
      </c>
      <c r="I50" s="4" t="b">
        <f>사업장!R49</f>
        <v>1</v>
      </c>
      <c r="J50" t="b">
        <f t="shared" si="0"/>
        <v>0</v>
      </c>
    </row>
    <row r="51" spans="2:10" x14ac:dyDescent="0.4">
      <c r="B51" s="4" t="str">
        <f>사업장!B50</f>
        <v>W550</v>
      </c>
      <c r="C51" s="4" t="str">
        <f>사업장!C50</f>
        <v>㈜이랜드이츠 반궁 엔씨 야탑점</v>
      </c>
      <c r="D51" s="4">
        <f>사업장!D50</f>
        <v>4438501111</v>
      </c>
      <c r="E51" s="13">
        <f>사업장!N50</f>
        <v>13475278</v>
      </c>
      <c r="F51" s="13">
        <f>사업장!O50</f>
        <v>1347527</v>
      </c>
      <c r="G51" s="13">
        <f>사업장!P50</f>
        <v>0</v>
      </c>
      <c r="H51" s="4" t="b">
        <f>사업장!Q50</f>
        <v>1</v>
      </c>
      <c r="I51" s="4" t="b">
        <f>사업장!R50</f>
        <v>0</v>
      </c>
      <c r="J51" t="b">
        <f t="shared" si="0"/>
        <v>0</v>
      </c>
    </row>
    <row r="52" spans="2:10" x14ac:dyDescent="0.4">
      <c r="B52" s="4" t="str">
        <f>사업장!B51</f>
        <v>W551</v>
      </c>
      <c r="C52" s="4" t="str">
        <f>사업장!C51</f>
        <v>리미니NC야탑점</v>
      </c>
      <c r="D52" s="4">
        <f>사업장!D51</f>
        <v>2398501166</v>
      </c>
      <c r="E52" s="13">
        <f>사업장!N51</f>
        <v>44057461</v>
      </c>
      <c r="F52" s="13">
        <f>사업장!O51</f>
        <v>4405659</v>
      </c>
      <c r="G52" s="13">
        <f>사업장!P51</f>
        <v>0</v>
      </c>
      <c r="H52" s="4" t="b">
        <f>사업장!Q51</f>
        <v>1</v>
      </c>
      <c r="I52" s="4" t="b">
        <f>사업장!R51</f>
        <v>0</v>
      </c>
      <c r="J52" t="b">
        <f t="shared" si="0"/>
        <v>0</v>
      </c>
    </row>
    <row r="53" spans="2:10" x14ac:dyDescent="0.4">
      <c r="B53" s="4" t="str">
        <f>사업장!B52</f>
        <v>W552</v>
      </c>
      <c r="C53" s="4" t="str">
        <f>사업장!C52</f>
        <v>주식회사 이랜드이츠 애슐리W NC순천점</v>
      </c>
      <c r="D53" s="4">
        <f>사업장!D52</f>
        <v>4758501253</v>
      </c>
      <c r="E53" s="13">
        <f>사업장!N52</f>
        <v>138933931</v>
      </c>
      <c r="F53" s="13">
        <f>사업장!O52</f>
        <v>13893383</v>
      </c>
      <c r="G53" s="13">
        <f>사업장!P52</f>
        <v>3033350</v>
      </c>
      <c r="H53" s="4" t="b">
        <f>사업장!Q52</f>
        <v>1</v>
      </c>
      <c r="I53" s="4" t="b">
        <f>사업장!R52</f>
        <v>1</v>
      </c>
      <c r="J53" t="b">
        <f t="shared" si="0"/>
        <v>0</v>
      </c>
    </row>
    <row r="54" spans="2:10" x14ac:dyDescent="0.4">
      <c r="B54" s="4" t="str">
        <f>사업장!B53</f>
        <v>W553</v>
      </c>
      <c r="C54" s="4" t="str">
        <f>사업장!C53</f>
        <v>㈜이랜드이츠 애슐리클래식뉴코아울산점</v>
      </c>
      <c r="D54" s="4">
        <f>사업장!D53</f>
        <v>1638501078</v>
      </c>
      <c r="E54" s="13">
        <f>사업장!N53</f>
        <v>8159068</v>
      </c>
      <c r="F54" s="13">
        <f>사업장!O53</f>
        <v>815904</v>
      </c>
      <c r="G54" s="13">
        <f>사업장!P53</f>
        <v>120000</v>
      </c>
      <c r="H54" s="4" t="b">
        <f>사업장!Q53</f>
        <v>1</v>
      </c>
      <c r="I54" s="4" t="b">
        <f>사업장!R53</f>
        <v>1</v>
      </c>
      <c r="J54" t="b">
        <f t="shared" si="0"/>
        <v>0</v>
      </c>
    </row>
    <row r="55" spans="2:10" x14ac:dyDescent="0.4">
      <c r="B55" s="4" t="str">
        <f>사업장!B54</f>
        <v>w555</v>
      </c>
      <c r="C55" s="4" t="str">
        <f>사업장!C54</f>
        <v>㈜이랜드이츠 애슐리클래식 뉴코아창원점</v>
      </c>
      <c r="D55" s="4">
        <f>사업장!D54</f>
        <v>1588501213</v>
      </c>
      <c r="E55" s="13">
        <f>사업장!N54</f>
        <v>31685157</v>
      </c>
      <c r="F55" s="13">
        <f>사업장!O54</f>
        <v>3168508</v>
      </c>
      <c r="G55" s="13">
        <f>사업장!P54</f>
        <v>245000</v>
      </c>
      <c r="H55" s="4" t="b">
        <f>사업장!Q54</f>
        <v>1</v>
      </c>
      <c r="I55" s="4" t="b">
        <f>사업장!R54</f>
        <v>1</v>
      </c>
      <c r="J55" t="b">
        <f t="shared" si="0"/>
        <v>0</v>
      </c>
    </row>
    <row r="56" spans="2:10" x14ac:dyDescent="0.4">
      <c r="B56" s="4" t="str">
        <f>사업장!B55</f>
        <v>W556</v>
      </c>
      <c r="C56" s="4" t="str">
        <f>사업장!C55</f>
        <v>애슐리W NC 해운대점</v>
      </c>
      <c r="D56" s="4">
        <f>사업장!D55</f>
        <v>4528501041</v>
      </c>
      <c r="E56" s="13">
        <f>사업장!N55</f>
        <v>36283650</v>
      </c>
      <c r="F56" s="13">
        <f>사업장!O55</f>
        <v>3628345</v>
      </c>
      <c r="G56" s="13">
        <f>사업장!P55</f>
        <v>0</v>
      </c>
      <c r="H56" s="4" t="b">
        <f>사업장!Q55</f>
        <v>1</v>
      </c>
      <c r="I56" s="4" t="b">
        <f>사업장!R55</f>
        <v>0</v>
      </c>
      <c r="J56" t="b">
        <f t="shared" si="0"/>
        <v>0</v>
      </c>
    </row>
    <row r="57" spans="2:10" s="20" customFormat="1" x14ac:dyDescent="0.4">
      <c r="B57" s="18" t="str">
        <f>사업장!B56</f>
        <v>W559</v>
      </c>
      <c r="C57" s="18" t="str">
        <f>사업장!C56</f>
        <v>리미니 NC 해운대점</v>
      </c>
      <c r="D57" s="18">
        <f>사업장!D56</f>
        <v>4518501242</v>
      </c>
      <c r="E57" s="19">
        <f>사업장!N56</f>
        <v>17411869</v>
      </c>
      <c r="F57" s="19">
        <f>사업장!O56</f>
        <v>1741154</v>
      </c>
      <c r="G57" s="19">
        <f>사업장!P56</f>
        <v>0</v>
      </c>
      <c r="H57" s="18" t="b">
        <f>사업장!Q56</f>
        <v>1</v>
      </c>
      <c r="I57" s="18" t="b">
        <f>사업장!R56</f>
        <v>0</v>
      </c>
      <c r="J57" t="b">
        <f t="shared" si="0"/>
        <v>0</v>
      </c>
    </row>
    <row r="58" spans="2:10" x14ac:dyDescent="0.4">
      <c r="B58" s="4" t="str">
        <f>사업장!B57</f>
        <v>W560</v>
      </c>
      <c r="C58" s="4" t="str">
        <f>사업장!C57</f>
        <v>로운 NC해운대점</v>
      </c>
      <c r="D58" s="4">
        <f>사업장!D57</f>
        <v>7928500993</v>
      </c>
      <c r="E58" s="13">
        <f>사업장!N57</f>
        <v>31911886</v>
      </c>
      <c r="F58" s="13">
        <f>사업장!O57</f>
        <v>3191137</v>
      </c>
      <c r="G58" s="13">
        <f>사업장!P57</f>
        <v>160000</v>
      </c>
      <c r="H58" s="4" t="b">
        <f>사업장!Q57</f>
        <v>1</v>
      </c>
      <c r="I58" s="4" t="b">
        <f>사업장!R57</f>
        <v>1</v>
      </c>
      <c r="J58" t="b">
        <f t="shared" si="0"/>
        <v>0</v>
      </c>
    </row>
    <row r="59" spans="2:10" x14ac:dyDescent="0.4">
      <c r="B59" s="4" t="str">
        <f>사업장!B58</f>
        <v>W562</v>
      </c>
      <c r="C59" s="4" t="str">
        <f>사업장!C58</f>
        <v>㈜이랜드이츠 애슐리클래식 홈플러스 신도림점</v>
      </c>
      <c r="D59" s="4">
        <f>사업장!D58</f>
        <v>1028507397</v>
      </c>
      <c r="E59" s="13">
        <f>사업장!N58</f>
        <v>77377966</v>
      </c>
      <c r="F59" s="13">
        <f>사업장!O58</f>
        <v>7737796</v>
      </c>
      <c r="G59" s="13">
        <f>사업장!P58</f>
        <v>46155</v>
      </c>
      <c r="H59" s="4" t="b">
        <f>사업장!Q58</f>
        <v>1</v>
      </c>
      <c r="I59" s="4" t="b">
        <f>사업장!R58</f>
        <v>1</v>
      </c>
      <c r="J59" t="b">
        <f t="shared" si="0"/>
        <v>0</v>
      </c>
    </row>
    <row r="60" spans="2:10" x14ac:dyDescent="0.4">
      <c r="B60" s="4" t="str">
        <f>사업장!B59</f>
        <v>W563</v>
      </c>
      <c r="C60" s="4" t="str">
        <f>사업장!C59</f>
        <v>㈜이랜드이츠 애슐리클래식 홈플러스 중계점</v>
      </c>
      <c r="D60" s="4">
        <f>사업장!D59</f>
        <v>5468501098</v>
      </c>
      <c r="E60" s="13">
        <f>사업장!N59</f>
        <v>2210189</v>
      </c>
      <c r="F60" s="13">
        <f>사업장!O59</f>
        <v>221018</v>
      </c>
      <c r="G60" s="13">
        <f>사업장!P59</f>
        <v>0</v>
      </c>
      <c r="H60" s="4" t="b">
        <f>사업장!Q59</f>
        <v>1</v>
      </c>
      <c r="I60" s="4" t="b">
        <f>사업장!R59</f>
        <v>0</v>
      </c>
      <c r="J60" t="b">
        <f t="shared" si="0"/>
        <v>0</v>
      </c>
    </row>
    <row r="61" spans="2:10" x14ac:dyDescent="0.4">
      <c r="B61" s="4" t="str">
        <f>사업장!B60</f>
        <v>W564</v>
      </c>
      <c r="C61" s="4" t="str">
        <f>사업장!C60</f>
        <v>㈜이랜드이츠(리미니 홈플러스 월드컵점)</v>
      </c>
      <c r="D61" s="4">
        <f>사업장!D60</f>
        <v>4038524834</v>
      </c>
      <c r="E61" s="13">
        <f>사업장!N60</f>
        <v>24925240</v>
      </c>
      <c r="F61" s="13">
        <f>사업장!O60</f>
        <v>2492389</v>
      </c>
      <c r="G61" s="13">
        <f>사업장!P60</f>
        <v>1319697</v>
      </c>
      <c r="H61" s="4" t="b">
        <f>사업장!Q60</f>
        <v>1</v>
      </c>
      <c r="I61" s="4" t="b">
        <f>사업장!R60</f>
        <v>1</v>
      </c>
      <c r="J61" t="b">
        <f t="shared" si="0"/>
        <v>0</v>
      </c>
    </row>
    <row r="62" spans="2:10" x14ac:dyDescent="0.4">
      <c r="B62" s="4" t="str">
        <f>사업장!B61</f>
        <v>W565</v>
      </c>
      <c r="C62" s="4" t="str">
        <f>사업장!C61</f>
        <v>㈜이랜드이츠 애슐리W홈플러스 유성점</v>
      </c>
      <c r="D62" s="4">
        <f>사업장!D61</f>
        <v>4468501099</v>
      </c>
      <c r="E62" s="13">
        <f>사업장!N61</f>
        <v>152112490</v>
      </c>
      <c r="F62" s="13">
        <f>사업장!O61</f>
        <v>15211246</v>
      </c>
      <c r="G62" s="13">
        <f>사업장!P61</f>
        <v>3012895</v>
      </c>
      <c r="H62" s="4" t="b">
        <f>사업장!Q61</f>
        <v>1</v>
      </c>
      <c r="I62" s="4" t="b">
        <f>사업장!R61</f>
        <v>1</v>
      </c>
      <c r="J62" t="b">
        <f t="shared" si="0"/>
        <v>0</v>
      </c>
    </row>
    <row r="63" spans="2:10" x14ac:dyDescent="0.4">
      <c r="B63" s="4" t="str">
        <f>사업장!B62</f>
        <v>W568</v>
      </c>
      <c r="C63" s="4" t="str">
        <f>사업장!C62</f>
        <v>㈜이랜드이츠 애슐리클래식 홈플러스인하점</v>
      </c>
      <c r="D63" s="4">
        <f>사업장!D62</f>
        <v>6498501039</v>
      </c>
      <c r="E63" s="13">
        <f>사업장!N62</f>
        <v>116560754</v>
      </c>
      <c r="F63" s="13">
        <f>사업장!O62</f>
        <v>11655772</v>
      </c>
      <c r="G63" s="13">
        <f>사업장!P62</f>
        <v>0</v>
      </c>
      <c r="H63" s="4" t="b">
        <f>사업장!Q62</f>
        <v>1</v>
      </c>
      <c r="I63" s="4" t="b">
        <f>사업장!R62</f>
        <v>0</v>
      </c>
      <c r="J63" t="b">
        <f t="shared" si="0"/>
        <v>0</v>
      </c>
    </row>
    <row r="64" spans="2:10" x14ac:dyDescent="0.4">
      <c r="B64" s="4" t="str">
        <f>사업장!B63</f>
        <v>W569</v>
      </c>
      <c r="C64" s="4" t="str">
        <f>사업장!C63</f>
        <v>주식회사 이랜드이츠 애슐리클래식 홈플러스 순천점</v>
      </c>
      <c r="D64" s="4">
        <f>사업장!D63</f>
        <v>2868501070</v>
      </c>
      <c r="E64" s="13">
        <f>사업장!N63</f>
        <v>21042817</v>
      </c>
      <c r="F64" s="13">
        <f>사업장!O63</f>
        <v>2104279</v>
      </c>
      <c r="G64" s="13">
        <f>사업장!P63</f>
        <v>3112079</v>
      </c>
      <c r="H64" s="4" t="b">
        <f>사업장!Q63</f>
        <v>1</v>
      </c>
      <c r="I64" s="4" t="b">
        <f>사업장!R63</f>
        <v>1</v>
      </c>
      <c r="J64" t="b">
        <f t="shared" si="0"/>
        <v>0</v>
      </c>
    </row>
    <row r="65" spans="2:10" x14ac:dyDescent="0.4">
      <c r="B65" s="4" t="str">
        <f>사업장!B64</f>
        <v>W570</v>
      </c>
      <c r="C65" s="4" t="str">
        <f>사업장!C64</f>
        <v>㈜이랜드이츠 애슐리클래식홈플러스청주점</v>
      </c>
      <c r="D65" s="4">
        <f>사업장!D64</f>
        <v>3328501164</v>
      </c>
      <c r="E65" s="13">
        <f>사업장!N64</f>
        <v>87893230</v>
      </c>
      <c r="F65" s="13">
        <f>사업장!O64</f>
        <v>8789321</v>
      </c>
      <c r="G65" s="13">
        <f>사업장!P64</f>
        <v>2393301</v>
      </c>
      <c r="H65" s="4" t="b">
        <f>사업장!Q64</f>
        <v>1</v>
      </c>
      <c r="I65" s="4" t="b">
        <f>사업장!R64</f>
        <v>1</v>
      </c>
      <c r="J65" t="b">
        <f t="shared" si="0"/>
        <v>0</v>
      </c>
    </row>
    <row r="66" spans="2:10" x14ac:dyDescent="0.4">
      <c r="B66" s="4" t="str">
        <f>사업장!B65</f>
        <v>W571</v>
      </c>
      <c r="C66" s="4" t="str">
        <f>사업장!C65</f>
        <v>애슐리클래식홈플러스문화점</v>
      </c>
      <c r="D66" s="4">
        <f>사업장!D65</f>
        <v>2868501084</v>
      </c>
      <c r="E66" s="13">
        <f>사업장!N65</f>
        <v>31194744</v>
      </c>
      <c r="F66" s="13">
        <f>사업장!O65</f>
        <v>3119473</v>
      </c>
      <c r="G66" s="13">
        <f>사업장!P65</f>
        <v>1183696</v>
      </c>
      <c r="H66" s="4" t="b">
        <f>사업장!Q65</f>
        <v>1</v>
      </c>
      <c r="I66" s="4" t="b">
        <f>사업장!R65</f>
        <v>1</v>
      </c>
      <c r="J66" t="b">
        <f t="shared" si="0"/>
        <v>0</v>
      </c>
    </row>
    <row r="67" spans="2:10" x14ac:dyDescent="0.4">
      <c r="B67" s="4" t="str">
        <f>사업장!B66</f>
        <v>W573</v>
      </c>
      <c r="C67" s="4" t="str">
        <f>사업장!C66</f>
        <v>㈜이랜드이츠 자연별곡 산본점</v>
      </c>
      <c r="D67" s="4">
        <f>사업장!D66</f>
        <v>2958501230</v>
      </c>
      <c r="E67" s="13">
        <f>사업장!N66</f>
        <v>33860198</v>
      </c>
      <c r="F67" s="13">
        <f>사업장!O66</f>
        <v>3386020</v>
      </c>
      <c r="G67" s="13">
        <f>사업장!P66</f>
        <v>2607882</v>
      </c>
      <c r="H67" s="4" t="b">
        <f>사업장!Q66</f>
        <v>1</v>
      </c>
      <c r="I67" s="4" t="b">
        <f>사업장!R66</f>
        <v>1</v>
      </c>
      <c r="J67" t="b">
        <f t="shared" si="0"/>
        <v>0</v>
      </c>
    </row>
    <row r="68" spans="2:10" x14ac:dyDescent="0.4">
      <c r="B68" s="4" t="str">
        <f>사업장!B67</f>
        <v>W574</v>
      </c>
      <c r="C68" s="4" t="str">
        <f>사업장!C67</f>
        <v>애슐리WNC안산고잔점</v>
      </c>
      <c r="D68" s="4">
        <f>사업장!D67</f>
        <v>8098501117</v>
      </c>
      <c r="E68" s="13">
        <f>사업장!N67</f>
        <v>127383635</v>
      </c>
      <c r="F68" s="13">
        <f>사업장!O67</f>
        <v>12738356</v>
      </c>
      <c r="G68" s="13">
        <f>사업장!P67</f>
        <v>456000</v>
      </c>
      <c r="H68" s="4" t="b">
        <f>사업장!Q67</f>
        <v>1</v>
      </c>
      <c r="I68" s="4" t="b">
        <f>사업장!R67</f>
        <v>1</v>
      </c>
      <c r="J68" t="b">
        <f t="shared" si="0"/>
        <v>0</v>
      </c>
    </row>
    <row r="69" spans="2:10" x14ac:dyDescent="0.4">
      <c r="B69" s="4" t="str">
        <f>사업장!B68</f>
        <v>W575</v>
      </c>
      <c r="C69" s="4" t="str">
        <f>사업장!C68</f>
        <v>㈜이랜드이츠(반궁NC안산고잔점)</v>
      </c>
      <c r="D69" s="4">
        <f>사업장!D68</f>
        <v>5018517689</v>
      </c>
      <c r="E69" s="13">
        <f>사업장!N68</f>
        <v>9928556</v>
      </c>
      <c r="F69" s="13">
        <f>사업장!O68</f>
        <v>992865</v>
      </c>
      <c r="G69" s="13">
        <f>사업장!P68</f>
        <v>200000</v>
      </c>
      <c r="H69" s="4" t="b">
        <f>사업장!Q68</f>
        <v>1</v>
      </c>
      <c r="I69" s="4" t="b">
        <f>사업장!R68</f>
        <v>1</v>
      </c>
      <c r="J69" t="b">
        <f t="shared" ref="J69:J132" si="1">AND(H69=FALSE,I69=FALSE)</f>
        <v>0</v>
      </c>
    </row>
    <row r="70" spans="2:10" x14ac:dyDescent="0.4">
      <c r="B70" s="4" t="str">
        <f>사업장!B69</f>
        <v>W576</v>
      </c>
      <c r="C70" s="4" t="str">
        <f>사업장!C69</f>
        <v>㈜이랜드이츠 아시아문 NC안산고잔점</v>
      </c>
      <c r="D70" s="4">
        <f>사업장!D69</f>
        <v>2078515305</v>
      </c>
      <c r="E70" s="13">
        <f>사업장!N69</f>
        <v>15302414</v>
      </c>
      <c r="F70" s="13">
        <f>사업장!O69</f>
        <v>1530229</v>
      </c>
      <c r="G70" s="13">
        <f>사업장!P69</f>
        <v>0</v>
      </c>
      <c r="H70" s="4" t="b">
        <f>사업장!Q69</f>
        <v>1</v>
      </c>
      <c r="I70" s="4" t="b">
        <f>사업장!R69</f>
        <v>0</v>
      </c>
      <c r="J70" t="b">
        <f t="shared" si="1"/>
        <v>0</v>
      </c>
    </row>
    <row r="71" spans="2:10" x14ac:dyDescent="0.4">
      <c r="B71" s="4" t="str">
        <f>사업장!B70</f>
        <v>W577</v>
      </c>
      <c r="C71" s="4" t="str">
        <f>사업장!C70</f>
        <v>㈜이랜드이츠 리미니 NC안산고잔점</v>
      </c>
      <c r="D71" s="4">
        <f>사업장!D70</f>
        <v>5608501186</v>
      </c>
      <c r="E71" s="13">
        <f>사업장!N70</f>
        <v>26056494</v>
      </c>
      <c r="F71" s="13">
        <f>사업장!O70</f>
        <v>2605608</v>
      </c>
      <c r="G71" s="13">
        <f>사업장!P70</f>
        <v>120000</v>
      </c>
      <c r="H71" s="4" t="b">
        <f>사업장!Q70</f>
        <v>1</v>
      </c>
      <c r="I71" s="4" t="b">
        <f>사업장!R70</f>
        <v>1</v>
      </c>
      <c r="J71" t="b">
        <f t="shared" si="1"/>
        <v>0</v>
      </c>
    </row>
    <row r="72" spans="2:10" x14ac:dyDescent="0.4">
      <c r="B72" s="4" t="str">
        <f>사업장!B71</f>
        <v>W578</v>
      </c>
      <c r="C72" s="4" t="str">
        <f>사업장!C71</f>
        <v>이랜드이츠 후원 2001철산</v>
      </c>
      <c r="D72" s="4">
        <f>사업장!D71</f>
        <v>6848501236</v>
      </c>
      <c r="E72" s="13">
        <f>사업장!N71</f>
        <v>310567</v>
      </c>
      <c r="F72" s="13">
        <f>사업장!O71</f>
        <v>31056</v>
      </c>
      <c r="G72" s="13">
        <f>사업장!P71</f>
        <v>0</v>
      </c>
      <c r="H72" s="4" t="b">
        <f>사업장!Q71</f>
        <v>1</v>
      </c>
      <c r="I72" s="4" t="b">
        <f>사업장!R71</f>
        <v>0</v>
      </c>
      <c r="J72" t="b">
        <f t="shared" si="1"/>
        <v>0</v>
      </c>
    </row>
    <row r="73" spans="2:10" x14ac:dyDescent="0.4">
      <c r="B73" s="4" t="str">
        <f>사업장!B72</f>
        <v>W580</v>
      </c>
      <c r="C73" s="4" t="str">
        <f>사업장!C72</f>
        <v>㈜이랜드이츠 애슐리클래식2001철산점</v>
      </c>
      <c r="D73" s="4">
        <f>사업장!D72</f>
        <v>4838501235</v>
      </c>
      <c r="E73" s="13">
        <f>사업장!N72</f>
        <v>5546081</v>
      </c>
      <c r="F73" s="13">
        <f>사업장!O72</f>
        <v>554604</v>
      </c>
      <c r="G73" s="13">
        <f>사업장!P72</f>
        <v>0</v>
      </c>
      <c r="H73" s="4" t="b">
        <f>사업장!Q72</f>
        <v>1</v>
      </c>
      <c r="I73" s="4" t="b">
        <f>사업장!R72</f>
        <v>0</v>
      </c>
      <c r="J73" t="b">
        <f t="shared" si="1"/>
        <v>0</v>
      </c>
    </row>
    <row r="74" spans="2:10" x14ac:dyDescent="0.4">
      <c r="B74" s="4" t="str">
        <f>사업장!B73</f>
        <v>W581</v>
      </c>
      <c r="C74" s="4" t="str">
        <f>사업장!C73</f>
        <v>㈜이랜드이츠 가산재능점</v>
      </c>
      <c r="D74" s="4">
        <f>사업장!D73</f>
        <v>2078515299</v>
      </c>
      <c r="E74" s="13">
        <f>사업장!N73</f>
        <v>234461374</v>
      </c>
      <c r="F74" s="13">
        <f>사업장!O73</f>
        <v>23446173</v>
      </c>
      <c r="G74" s="13">
        <f>사업장!P73</f>
        <v>2682480</v>
      </c>
      <c r="H74" s="4" t="b">
        <f>사업장!Q73</f>
        <v>1</v>
      </c>
      <c r="I74" s="4" t="b">
        <f>사업장!R73</f>
        <v>1</v>
      </c>
      <c r="J74" t="b">
        <f t="shared" si="1"/>
        <v>0</v>
      </c>
    </row>
    <row r="75" spans="2:10" x14ac:dyDescent="0.4">
      <c r="B75" s="4" t="str">
        <f>사업장!B74</f>
        <v>W584</v>
      </c>
      <c r="C75" s="4" t="str">
        <f>사업장!C74</f>
        <v>애슐리W 뉴코아 강남점</v>
      </c>
      <c r="D75" s="4">
        <f>사업장!D74</f>
        <v>3748501213</v>
      </c>
      <c r="E75" s="13">
        <f>사업장!N74</f>
        <v>61223217</v>
      </c>
      <c r="F75" s="13">
        <f>사업장!O74</f>
        <v>6122322</v>
      </c>
      <c r="G75" s="13">
        <f>사업장!P74</f>
        <v>0</v>
      </c>
      <c r="H75" s="4" t="b">
        <f>사업장!Q74</f>
        <v>1</v>
      </c>
      <c r="I75" s="4" t="b">
        <f>사업장!R74</f>
        <v>0</v>
      </c>
      <c r="J75" t="b">
        <f t="shared" si="1"/>
        <v>0</v>
      </c>
    </row>
    <row r="76" spans="2:10" x14ac:dyDescent="0.4">
      <c r="B76" s="4" t="str">
        <f>사업장!B75</f>
        <v>W585</v>
      </c>
      <c r="C76" s="4" t="str">
        <f>사업장!C75</f>
        <v>㈜이랜드이츠 애슐리홈플러스간석점</v>
      </c>
      <c r="D76" s="4">
        <f>사업장!D75</f>
        <v>4688501084</v>
      </c>
      <c r="E76" s="13">
        <f>사업장!N75</f>
        <v>142147475</v>
      </c>
      <c r="F76" s="13">
        <f>사업장!O75</f>
        <v>14214553</v>
      </c>
      <c r="G76" s="13">
        <f>사업장!P75</f>
        <v>1631495</v>
      </c>
      <c r="H76" s="4" t="b">
        <f>사업장!Q75</f>
        <v>1</v>
      </c>
      <c r="I76" s="4" t="b">
        <f>사업장!R75</f>
        <v>1</v>
      </c>
      <c r="J76" t="b">
        <f t="shared" si="1"/>
        <v>0</v>
      </c>
    </row>
    <row r="77" spans="2:10" x14ac:dyDescent="0.4">
      <c r="B77" s="4" t="str">
        <f>사업장!B76</f>
        <v>W586</v>
      </c>
      <c r="C77" s="4" t="str">
        <f>사업장!C76</f>
        <v>㈜이랜드이츠 애슐리W홈플러스 둔산점</v>
      </c>
      <c r="D77" s="4">
        <f>사업장!D76</f>
        <v>7888501256</v>
      </c>
      <c r="E77" s="13">
        <f>사업장!N76</f>
        <v>12137754</v>
      </c>
      <c r="F77" s="13">
        <f>사업장!O76</f>
        <v>1213774</v>
      </c>
      <c r="G77" s="13">
        <f>사업장!P76</f>
        <v>0</v>
      </c>
      <c r="H77" s="4" t="b">
        <f>사업장!Q76</f>
        <v>1</v>
      </c>
      <c r="I77" s="4" t="b">
        <f>사업장!R76</f>
        <v>0</v>
      </c>
      <c r="J77" t="b">
        <f t="shared" si="1"/>
        <v>0</v>
      </c>
    </row>
    <row r="78" spans="2:10" x14ac:dyDescent="0.4">
      <c r="B78" s="4" t="str">
        <f>사업장!B77</f>
        <v>W587</v>
      </c>
      <c r="C78" s="4" t="str">
        <f>사업장!C77</f>
        <v>㈜이랜드이츠 애슐리퀸즈 뉴코아 부천점</v>
      </c>
      <c r="D78" s="4">
        <f>사업장!D77</f>
        <v>7288501161</v>
      </c>
      <c r="E78" s="13">
        <f>사업장!N77</f>
        <v>154305961</v>
      </c>
      <c r="F78" s="13">
        <f>사업장!O77</f>
        <v>15430441</v>
      </c>
      <c r="G78" s="13">
        <f>사업장!P77</f>
        <v>856843</v>
      </c>
      <c r="H78" s="4" t="b">
        <f>사업장!Q77</f>
        <v>1</v>
      </c>
      <c r="I78" s="4" t="b">
        <f>사업장!R77</f>
        <v>1</v>
      </c>
      <c r="J78" t="b">
        <f t="shared" si="1"/>
        <v>0</v>
      </c>
    </row>
    <row r="79" spans="2:10" x14ac:dyDescent="0.4">
      <c r="B79" s="4" t="str">
        <f>사업장!B78</f>
        <v>W588</v>
      </c>
      <c r="C79" s="4" t="str">
        <f>사업장!C78</f>
        <v xml:space="preserve">㈜이랜드이츠 다구오 뉴코아부천점 </v>
      </c>
      <c r="D79" s="4">
        <f>사업장!D78</f>
        <v>6378501109</v>
      </c>
      <c r="E79" s="13">
        <f>사업장!N78</f>
        <v>24152732</v>
      </c>
      <c r="F79" s="13">
        <f>사업장!O78</f>
        <v>2415270</v>
      </c>
      <c r="G79" s="13">
        <f>사업장!P78</f>
        <v>0</v>
      </c>
      <c r="H79" s="4" t="b">
        <f>사업장!Q78</f>
        <v>1</v>
      </c>
      <c r="I79" s="4" t="b">
        <f>사업장!R78</f>
        <v>0</v>
      </c>
      <c r="J79" t="b">
        <f t="shared" si="1"/>
        <v>0</v>
      </c>
    </row>
    <row r="80" spans="2:10" x14ac:dyDescent="0.4">
      <c r="B80" s="4" t="str">
        <f>사업장!B79</f>
        <v>W589</v>
      </c>
      <c r="C80" s="4" t="str">
        <f>사업장!C79</f>
        <v xml:space="preserve">㈜이랜드이츠 후원 뉴코아부천점 </v>
      </c>
      <c r="D80" s="4">
        <f>사업장!D79</f>
        <v>2418501043</v>
      </c>
      <c r="E80" s="13">
        <f>사업장!N79</f>
        <v>8605420</v>
      </c>
      <c r="F80" s="13">
        <f>사업장!O79</f>
        <v>860539</v>
      </c>
      <c r="G80" s="13">
        <f>사업장!P79</f>
        <v>40000</v>
      </c>
      <c r="H80" s="4" t="b">
        <f>사업장!Q79</f>
        <v>1</v>
      </c>
      <c r="I80" s="4" t="b">
        <f>사업장!R79</f>
        <v>1</v>
      </c>
      <c r="J80" t="b">
        <f t="shared" si="1"/>
        <v>0</v>
      </c>
    </row>
    <row r="81" spans="2:10" x14ac:dyDescent="0.4">
      <c r="B81" s="4" t="str">
        <f>사업장!B80</f>
        <v>W590</v>
      </c>
      <c r="C81" s="4" t="str">
        <f>사업장!C80</f>
        <v>㈜이랜드이츠 반궁 뉴코아 부천점</v>
      </c>
      <c r="D81" s="4">
        <f>사업장!D80</f>
        <v>5968501128</v>
      </c>
      <c r="E81" s="13">
        <f>사업장!N80</f>
        <v>15292223</v>
      </c>
      <c r="F81" s="13">
        <f>사업장!O80</f>
        <v>1529216</v>
      </c>
      <c r="G81" s="13">
        <f>사업장!P80</f>
        <v>0</v>
      </c>
      <c r="H81" s="4" t="b">
        <f>사업장!Q80</f>
        <v>1</v>
      </c>
      <c r="I81" s="4" t="b">
        <f>사업장!R80</f>
        <v>0</v>
      </c>
      <c r="J81" t="b">
        <f t="shared" si="1"/>
        <v>0</v>
      </c>
    </row>
    <row r="82" spans="2:10" x14ac:dyDescent="0.4">
      <c r="B82" s="4" t="str">
        <f>사업장!B81</f>
        <v>W591</v>
      </c>
      <c r="C82" s="4" t="str">
        <f>사업장!C81</f>
        <v>㈜이랜드이츠  피자몰 부천 뉴코아</v>
      </c>
      <c r="D82" s="4">
        <f>사업장!D81</f>
        <v>2318503781</v>
      </c>
      <c r="E82" s="13">
        <f>사업장!N81</f>
        <v>51820482</v>
      </c>
      <c r="F82" s="13">
        <f>사업장!O81</f>
        <v>5182039</v>
      </c>
      <c r="G82" s="13">
        <f>사업장!P81</f>
        <v>408000</v>
      </c>
      <c r="H82" s="4" t="b">
        <f>사업장!Q81</f>
        <v>1</v>
      </c>
      <c r="I82" s="4" t="b">
        <f>사업장!R81</f>
        <v>1</v>
      </c>
      <c r="J82" t="b">
        <f t="shared" si="1"/>
        <v>0</v>
      </c>
    </row>
    <row r="83" spans="2:10" x14ac:dyDescent="0.4">
      <c r="B83" s="4" t="str">
        <f>사업장!B82</f>
        <v>W592</v>
      </c>
      <c r="C83" s="4" t="str">
        <f>사업장!C82</f>
        <v>㈜이랜드이츠 리미니 뉴코아 부천점</v>
      </c>
      <c r="D83" s="4">
        <f>사업장!D82</f>
        <v>6568501060</v>
      </c>
      <c r="E83" s="13">
        <f>사업장!N82</f>
        <v>21930463</v>
      </c>
      <c r="F83" s="13">
        <f>사업장!O82</f>
        <v>2193005</v>
      </c>
      <c r="G83" s="13">
        <f>사업장!P82</f>
        <v>0</v>
      </c>
      <c r="H83" s="4" t="b">
        <f>사업장!Q82</f>
        <v>1</v>
      </c>
      <c r="I83" s="4" t="b">
        <f>사업장!R82</f>
        <v>0</v>
      </c>
      <c r="J83" t="b">
        <f t="shared" si="1"/>
        <v>0</v>
      </c>
    </row>
    <row r="84" spans="2:10" x14ac:dyDescent="0.4">
      <c r="B84" s="4" t="str">
        <f>사업장!B83</f>
        <v>W593</v>
      </c>
      <c r="C84" s="4" t="str">
        <f>사업장!C83</f>
        <v>㈜이랜드이츠 수사뉴코아부천점</v>
      </c>
      <c r="D84" s="4">
        <f>사업장!D83</f>
        <v>2048530705</v>
      </c>
      <c r="E84" s="13">
        <f>사업장!N83</f>
        <v>49279030</v>
      </c>
      <c r="F84" s="13">
        <f>사업장!O83</f>
        <v>4927775</v>
      </c>
      <c r="G84" s="13">
        <f>사업장!P83</f>
        <v>408000</v>
      </c>
      <c r="H84" s="4" t="b">
        <f>사업장!Q83</f>
        <v>1</v>
      </c>
      <c r="I84" s="4" t="b">
        <f>사업장!R83</f>
        <v>1</v>
      </c>
      <c r="J84" t="b">
        <f t="shared" si="1"/>
        <v>0</v>
      </c>
    </row>
    <row r="85" spans="2:10" x14ac:dyDescent="0.4">
      <c r="B85" s="4" t="str">
        <f>사업장!B84</f>
        <v>W594</v>
      </c>
      <c r="C85" s="4" t="str">
        <f>사업장!C84</f>
        <v>㈜이랜드이츠 테루 뉴코아 부천</v>
      </c>
      <c r="D85" s="4">
        <f>사업장!D84</f>
        <v>8338500877</v>
      </c>
      <c r="E85" s="13">
        <f>사업장!N84</f>
        <v>18876315</v>
      </c>
      <c r="F85" s="13">
        <f>사업장!O84</f>
        <v>1887635</v>
      </c>
      <c r="G85" s="13">
        <f>사업장!P84</f>
        <v>0</v>
      </c>
      <c r="H85" s="4" t="b">
        <f>사업장!Q84</f>
        <v>1</v>
      </c>
      <c r="I85" s="4" t="b">
        <f>사업장!R84</f>
        <v>0</v>
      </c>
      <c r="J85" t="b">
        <f t="shared" si="1"/>
        <v>0</v>
      </c>
    </row>
    <row r="86" spans="2:10" x14ac:dyDescent="0.4">
      <c r="B86" s="4" t="str">
        <f>사업장!B85</f>
        <v>W595</v>
      </c>
      <c r="C86" s="4" t="str">
        <f>사업장!C85</f>
        <v>㈜이랜드이츠 애슐리강릉옥천점</v>
      </c>
      <c r="D86" s="4">
        <f>사업장!D85</f>
        <v>1298567653</v>
      </c>
      <c r="E86" s="13">
        <f>사업장!N85</f>
        <v>33426695</v>
      </c>
      <c r="F86" s="13">
        <f>사업장!O85</f>
        <v>3342672</v>
      </c>
      <c r="G86" s="13">
        <f>사업장!P85</f>
        <v>5654370</v>
      </c>
      <c r="H86" s="4" t="b">
        <f>사업장!Q85</f>
        <v>1</v>
      </c>
      <c r="I86" s="4" t="b">
        <f>사업장!R85</f>
        <v>1</v>
      </c>
      <c r="J86" t="b">
        <f t="shared" si="1"/>
        <v>0</v>
      </c>
    </row>
    <row r="87" spans="2:10" x14ac:dyDescent="0.4">
      <c r="B87" s="4" t="str">
        <f>사업장!B86</f>
        <v>W596</v>
      </c>
      <c r="C87" s="4" t="str">
        <f>사업장!C86</f>
        <v>㈜이랜드이츠 애슐리W강변점</v>
      </c>
      <c r="D87" s="4">
        <f>사업장!D86</f>
        <v>8418501014</v>
      </c>
      <c r="E87" s="13">
        <f>사업장!N86</f>
        <v>170131080</v>
      </c>
      <c r="F87" s="13">
        <f>사업장!O86</f>
        <v>17013100</v>
      </c>
      <c r="G87" s="13">
        <f>사업장!P86</f>
        <v>2672527</v>
      </c>
      <c r="H87" s="4" t="b">
        <f>사업장!Q86</f>
        <v>1</v>
      </c>
      <c r="I87" s="4" t="b">
        <f>사업장!R86</f>
        <v>1</v>
      </c>
      <c r="J87" t="b">
        <f t="shared" si="1"/>
        <v>0</v>
      </c>
    </row>
    <row r="88" spans="2:10" x14ac:dyDescent="0.4">
      <c r="B88" s="4" t="str">
        <f>사업장!B87</f>
        <v>W597</v>
      </c>
      <c r="C88" s="4" t="str">
        <f>사업장!C87</f>
        <v>㈜이랜드이츠 애슐리 건대스타시티점</v>
      </c>
      <c r="D88" s="4">
        <f>사업장!D87</f>
        <v>6998501204</v>
      </c>
      <c r="E88" s="13">
        <f>사업장!N87</f>
        <v>171725959</v>
      </c>
      <c r="F88" s="13">
        <f>사업장!O87</f>
        <v>17172583</v>
      </c>
      <c r="G88" s="13">
        <f>사업장!P87</f>
        <v>8271280</v>
      </c>
      <c r="H88" s="4" t="b">
        <f>사업장!Q87</f>
        <v>1</v>
      </c>
      <c r="I88" s="4" t="b">
        <f>사업장!R87</f>
        <v>1</v>
      </c>
      <c r="J88" t="b">
        <f t="shared" si="1"/>
        <v>0</v>
      </c>
    </row>
    <row r="89" spans="2:10" x14ac:dyDescent="0.4">
      <c r="B89" s="4" t="str">
        <f>사업장!B88</f>
        <v>W598</v>
      </c>
      <c r="C89" s="4" t="str">
        <f>사업장!C88</f>
        <v>㈜이랜드이츠 애슐리클래식홈플러스구미점</v>
      </c>
      <c r="D89" s="4">
        <f>사업장!D88</f>
        <v>8998501328</v>
      </c>
      <c r="E89" s="13">
        <f>사업장!N88</f>
        <v>13012308</v>
      </c>
      <c r="F89" s="13">
        <f>사업장!O88</f>
        <v>1301230</v>
      </c>
      <c r="G89" s="13">
        <f>사업장!P88</f>
        <v>1527351</v>
      </c>
      <c r="H89" s="4" t="b">
        <f>사업장!Q88</f>
        <v>1</v>
      </c>
      <c r="I89" s="4" t="b">
        <f>사업장!R88</f>
        <v>1</v>
      </c>
      <c r="J89" t="b">
        <f t="shared" si="1"/>
        <v>0</v>
      </c>
    </row>
    <row r="90" spans="2:10" x14ac:dyDescent="0.4">
      <c r="B90" s="4" t="str">
        <f>사업장!B89</f>
        <v>W599</v>
      </c>
      <c r="C90" s="4" t="str">
        <f>사업장!C89</f>
        <v>㈜이랜드이츠(자연별곡홈플러춘천점)</v>
      </c>
      <c r="D90" s="4">
        <f>사업장!D89</f>
        <v>4508501012</v>
      </c>
      <c r="E90" s="13">
        <f>사업장!N89</f>
        <v>23479852</v>
      </c>
      <c r="F90" s="13">
        <f>사업장!O89</f>
        <v>2347981</v>
      </c>
      <c r="G90" s="13">
        <f>사업장!P89</f>
        <v>4389054</v>
      </c>
      <c r="H90" s="4" t="b">
        <f>사업장!Q89</f>
        <v>1</v>
      </c>
      <c r="I90" s="4" t="b">
        <f>사업장!R89</f>
        <v>1</v>
      </c>
      <c r="J90" t="b">
        <f t="shared" si="1"/>
        <v>0</v>
      </c>
    </row>
    <row r="91" spans="2:10" x14ac:dyDescent="0.4">
      <c r="B91" s="4" t="str">
        <f>사업장!B90</f>
        <v>W600</v>
      </c>
      <c r="C91" s="4" t="str">
        <f>사업장!C90</f>
        <v>㈜이랜드이츠 애슐리클래식홈플러스춘천점</v>
      </c>
      <c r="D91" s="4">
        <f>사업장!D90</f>
        <v>1048531971</v>
      </c>
      <c r="E91" s="13">
        <f>사업장!N90</f>
        <v>82166135</v>
      </c>
      <c r="F91" s="13">
        <f>사업장!O90</f>
        <v>8216613</v>
      </c>
      <c r="G91" s="13">
        <f>사업장!P90</f>
        <v>16479</v>
      </c>
      <c r="H91" s="4" t="b">
        <f>사업장!Q90</f>
        <v>1</v>
      </c>
      <c r="I91" s="4" t="b">
        <f>사업장!R90</f>
        <v>1</v>
      </c>
      <c r="J91" t="b">
        <f t="shared" si="1"/>
        <v>0</v>
      </c>
    </row>
    <row r="92" spans="2:10" x14ac:dyDescent="0.4">
      <c r="B92" s="4" t="str">
        <f>사업장!B91</f>
        <v>W601</v>
      </c>
      <c r="C92" s="4" t="str">
        <f>사업장!C91</f>
        <v>애슐리클래식 부평아이즈빌점</v>
      </c>
      <c r="D92" s="4">
        <f>사업장!D91</f>
        <v>1998501228</v>
      </c>
      <c r="E92" s="13">
        <f>사업장!N91</f>
        <v>44687176</v>
      </c>
      <c r="F92" s="13">
        <f>사업장!O91</f>
        <v>4468308</v>
      </c>
      <c r="G92" s="13">
        <f>사업장!P91</f>
        <v>6271930</v>
      </c>
      <c r="H92" s="4" t="b">
        <f>사업장!Q91</f>
        <v>1</v>
      </c>
      <c r="I92" s="4" t="b">
        <f>사업장!R91</f>
        <v>1</v>
      </c>
      <c r="J92" t="b">
        <f t="shared" si="1"/>
        <v>0</v>
      </c>
    </row>
    <row r="93" spans="2:10" x14ac:dyDescent="0.4">
      <c r="B93" s="4" t="str">
        <f>사업장!B92</f>
        <v>W603</v>
      </c>
      <c r="C93" s="4" t="str">
        <f>사업장!C92</f>
        <v>㈜이랜드이츠 애슐리W 뉴코아덕천점</v>
      </c>
      <c r="D93" s="4">
        <f>사업장!D92</f>
        <v>6778501257</v>
      </c>
      <c r="E93" s="13">
        <f>사업장!N92</f>
        <v>74625631</v>
      </c>
      <c r="F93" s="13">
        <f>사업장!O92</f>
        <v>7462558</v>
      </c>
      <c r="G93" s="13">
        <f>사업장!P92</f>
        <v>0</v>
      </c>
      <c r="H93" s="4" t="b">
        <f>사업장!Q92</f>
        <v>1</v>
      </c>
      <c r="I93" s="4" t="b">
        <f>사업장!R92</f>
        <v>0</v>
      </c>
      <c r="J93" t="b">
        <f t="shared" si="1"/>
        <v>0</v>
      </c>
    </row>
    <row r="94" spans="2:10" x14ac:dyDescent="0.4">
      <c r="B94" s="4" t="str">
        <f>사업장!B93</f>
        <v>W604</v>
      </c>
      <c r="C94" s="4" t="str">
        <f>사업장!C93</f>
        <v>㈜이랜드이츠 프랑제리 NC 송파</v>
      </c>
      <c r="D94" s="4">
        <f>사업장!D93</f>
        <v>4038524829</v>
      </c>
      <c r="E94" s="13">
        <f>사업장!N93</f>
        <v>682659</v>
      </c>
      <c r="F94" s="13">
        <f>사업장!O93</f>
        <v>68266</v>
      </c>
      <c r="G94" s="13">
        <f>사업장!P93</f>
        <v>40000</v>
      </c>
      <c r="H94" s="4" t="b">
        <f>사업장!Q93</f>
        <v>1</v>
      </c>
      <c r="I94" s="4" t="b">
        <f>사업장!R93</f>
        <v>1</v>
      </c>
      <c r="J94" t="b">
        <f t="shared" si="1"/>
        <v>0</v>
      </c>
    </row>
    <row r="95" spans="2:10" x14ac:dyDescent="0.4">
      <c r="B95" s="4" t="str">
        <f>사업장!B94</f>
        <v>W606</v>
      </c>
      <c r="C95" s="4" t="str">
        <f>사업장!C94</f>
        <v xml:space="preserve">리미니 NC 송파점 </v>
      </c>
      <c r="D95" s="4">
        <f>사업장!D94</f>
        <v>7318501207</v>
      </c>
      <c r="E95" s="13">
        <f>사업장!N94</f>
        <v>25681059</v>
      </c>
      <c r="F95" s="13">
        <f>사업장!O94</f>
        <v>2568103</v>
      </c>
      <c r="G95" s="13">
        <f>사업장!P94</f>
        <v>25000</v>
      </c>
      <c r="H95" s="4" t="b">
        <f>사업장!Q94</f>
        <v>1</v>
      </c>
      <c r="I95" s="4" t="b">
        <f>사업장!R94</f>
        <v>1</v>
      </c>
      <c r="J95" t="b">
        <f t="shared" si="1"/>
        <v>0</v>
      </c>
    </row>
    <row r="96" spans="2:10" x14ac:dyDescent="0.4">
      <c r="B96" s="4" t="str">
        <f>사업장!B95</f>
        <v>W607</v>
      </c>
      <c r="C96" s="4" t="str">
        <f>사업장!C95</f>
        <v>(주)이랜드이츠 애슐리W NC송파점</v>
      </c>
      <c r="D96" s="4">
        <f>사업장!D95</f>
        <v>1718501079</v>
      </c>
      <c r="E96" s="13">
        <f>사업장!N95</f>
        <v>177851546</v>
      </c>
      <c r="F96" s="13">
        <f>사업장!O95</f>
        <v>17785149</v>
      </c>
      <c r="G96" s="13">
        <f>사업장!P95</f>
        <v>510000</v>
      </c>
      <c r="H96" s="4" t="b">
        <f>사업장!Q95</f>
        <v>1</v>
      </c>
      <c r="I96" s="4" t="b">
        <f>사업장!R95</f>
        <v>1</v>
      </c>
      <c r="J96" t="b">
        <f t="shared" si="1"/>
        <v>0</v>
      </c>
    </row>
    <row r="97" spans="2:10" x14ac:dyDescent="0.4">
      <c r="B97" s="4" t="str">
        <f>사업장!B96</f>
        <v>W609</v>
      </c>
      <c r="C97" s="4" t="str">
        <f>사업장!C96</f>
        <v>㈜이랜드이츠 자연별곡NC송파점</v>
      </c>
      <c r="D97" s="4">
        <f>사업장!D96</f>
        <v>3538501142</v>
      </c>
      <c r="E97" s="13">
        <f>사업장!N96</f>
        <v>46602801</v>
      </c>
      <c r="F97" s="13">
        <f>사업장!O96</f>
        <v>4660267</v>
      </c>
      <c r="G97" s="13">
        <f>사업장!P96</f>
        <v>516726</v>
      </c>
      <c r="H97" s="4" t="b">
        <f>사업장!Q96</f>
        <v>1</v>
      </c>
      <c r="I97" s="4" t="b">
        <f>사업장!R96</f>
        <v>1</v>
      </c>
      <c r="J97" t="b">
        <f t="shared" si="1"/>
        <v>0</v>
      </c>
    </row>
    <row r="98" spans="2:10" x14ac:dyDescent="0.4">
      <c r="B98" s="4" t="str">
        <f>사업장!B97</f>
        <v>W610</v>
      </c>
      <c r="C98" s="4" t="str">
        <f>사업장!C97</f>
        <v>㈜이랜드이츠 리미니NC송파점7층</v>
      </c>
      <c r="D98" s="4">
        <f>사업장!D97</f>
        <v>5458501246</v>
      </c>
      <c r="E98" s="13">
        <f>사업장!N97</f>
        <v>41424368</v>
      </c>
      <c r="F98" s="13">
        <f>사업장!O97</f>
        <v>4142391</v>
      </c>
      <c r="G98" s="13">
        <f>사업장!P97</f>
        <v>34843</v>
      </c>
      <c r="H98" s="4" t="b">
        <f>사업장!Q97</f>
        <v>1</v>
      </c>
      <c r="I98" s="4" t="b">
        <f>사업장!R97</f>
        <v>1</v>
      </c>
      <c r="J98" t="b">
        <f t="shared" si="1"/>
        <v>0</v>
      </c>
    </row>
    <row r="99" spans="2:10" x14ac:dyDescent="0.4">
      <c r="B99" s="4" t="str">
        <f>사업장!B98</f>
        <v>W611</v>
      </c>
      <c r="C99" s="4" t="str">
        <f>사업장!C98</f>
        <v>주식회사 이랜드이츠 수사NC송파점</v>
      </c>
      <c r="D99" s="4">
        <f>사업장!D98</f>
        <v>6598500959</v>
      </c>
      <c r="E99" s="13">
        <f>사업장!N98</f>
        <v>59300000</v>
      </c>
      <c r="F99" s="13">
        <f>사업장!O98</f>
        <v>5930000</v>
      </c>
      <c r="G99" s="13">
        <f>사업장!P98</f>
        <v>0</v>
      </c>
      <c r="H99" s="4" t="b">
        <f>사업장!Q98</f>
        <v>1</v>
      </c>
      <c r="I99" s="4" t="b">
        <f>사업장!R98</f>
        <v>0</v>
      </c>
      <c r="J99" t="b">
        <f t="shared" si="1"/>
        <v>0</v>
      </c>
    </row>
    <row r="100" spans="2:10" x14ac:dyDescent="0.4">
      <c r="B100" s="4" t="str">
        <f>사업장!B99</f>
        <v>W612</v>
      </c>
      <c r="C100" s="4" t="str">
        <f>사업장!C99</f>
        <v>㈜이랜드이츠 루고 NC 송파점</v>
      </c>
      <c r="D100" s="4">
        <f>사업장!D99</f>
        <v>5278501097</v>
      </c>
      <c r="E100" s="13">
        <f>사업장!N99</f>
        <v>355252</v>
      </c>
      <c r="F100" s="13">
        <f>사업장!O99</f>
        <v>35524</v>
      </c>
      <c r="G100" s="13">
        <f>사업장!P99</f>
        <v>0</v>
      </c>
      <c r="H100" s="4" t="b">
        <f>사업장!Q99</f>
        <v>1</v>
      </c>
      <c r="I100" s="4" t="b">
        <f>사업장!R99</f>
        <v>0</v>
      </c>
      <c r="J100" t="b">
        <f t="shared" si="1"/>
        <v>0</v>
      </c>
    </row>
    <row r="101" spans="2:10" x14ac:dyDescent="0.4">
      <c r="B101" s="4" t="str">
        <f>사업장!B100</f>
        <v>W614</v>
      </c>
      <c r="C101" s="4" t="str">
        <f>사업장!C100</f>
        <v>㈜이랜드이츠 후원뉴코아인천점</v>
      </c>
      <c r="D101" s="4">
        <f>사업장!D100</f>
        <v>3148554872</v>
      </c>
      <c r="E101" s="13">
        <f>사업장!N100</f>
        <v>5137616</v>
      </c>
      <c r="F101" s="13">
        <f>사업장!O100</f>
        <v>513757</v>
      </c>
      <c r="G101" s="13">
        <f>사업장!P100</f>
        <v>40000</v>
      </c>
      <c r="H101" s="4" t="b">
        <f>사업장!Q100</f>
        <v>1</v>
      </c>
      <c r="I101" s="4" t="b">
        <f>사업장!R100</f>
        <v>1</v>
      </c>
      <c r="J101" t="b">
        <f t="shared" si="1"/>
        <v>0</v>
      </c>
    </row>
    <row r="102" spans="2:10" x14ac:dyDescent="0.4">
      <c r="B102" s="4" t="str">
        <f>사업장!B101</f>
        <v>W615</v>
      </c>
      <c r="C102" s="4" t="str">
        <f>사업장!C101</f>
        <v>㈜이랜드이츠 자연별곡뉴코아인천논현점</v>
      </c>
      <c r="D102" s="4">
        <f>사업장!D101</f>
        <v>6448501053</v>
      </c>
      <c r="E102" s="13">
        <f>사업장!N101</f>
        <v>3335425</v>
      </c>
      <c r="F102" s="13">
        <f>사업장!O101</f>
        <v>333541</v>
      </c>
      <c r="G102" s="13">
        <f>사업장!P101</f>
        <v>230000</v>
      </c>
      <c r="H102" s="4" t="b">
        <f>사업장!Q101</f>
        <v>1</v>
      </c>
      <c r="I102" s="4" t="b">
        <f>사업장!R101</f>
        <v>1</v>
      </c>
      <c r="J102" t="b">
        <f t="shared" si="1"/>
        <v>0</v>
      </c>
    </row>
    <row r="103" spans="2:10" x14ac:dyDescent="0.4">
      <c r="B103" s="4" t="str">
        <f>사업장!B102</f>
        <v>W617</v>
      </c>
      <c r="C103" s="4" t="str">
        <f>사업장!C102</f>
        <v>㈜이랜드이츠 수사뉴코아인천논현</v>
      </c>
      <c r="D103" s="4">
        <f>사업장!D102</f>
        <v>8158501145</v>
      </c>
      <c r="E103" s="13">
        <f>사업장!N102</f>
        <v>237493</v>
      </c>
      <c r="F103" s="13">
        <f>사업장!O102</f>
        <v>23749</v>
      </c>
      <c r="G103" s="13">
        <f>사업장!P102</f>
        <v>0</v>
      </c>
      <c r="H103" s="4" t="b">
        <f>사업장!Q102</f>
        <v>1</v>
      </c>
      <c r="I103" s="4" t="b">
        <f>사업장!R102</f>
        <v>0</v>
      </c>
      <c r="J103" t="b">
        <f t="shared" si="1"/>
        <v>0</v>
      </c>
    </row>
    <row r="104" spans="2:10" x14ac:dyDescent="0.4">
      <c r="B104" s="4" t="str">
        <f>사업장!B103</f>
        <v>W619</v>
      </c>
      <c r="C104" s="4" t="str">
        <f>사업장!C103</f>
        <v>㈜이랜드이츠 롯데마트 대구율하점</v>
      </c>
      <c r="D104" s="4">
        <f>사업장!D103</f>
        <v>1518501167</v>
      </c>
      <c r="E104" s="13">
        <f>사업장!N103</f>
        <v>30032923</v>
      </c>
      <c r="F104" s="13">
        <f>사업장!O103</f>
        <v>3003287</v>
      </c>
      <c r="G104" s="13">
        <f>사업장!P103</f>
        <v>2585788</v>
      </c>
      <c r="H104" s="4" t="b">
        <f>사업장!Q103</f>
        <v>1</v>
      </c>
      <c r="I104" s="4" t="b">
        <f>사업장!R103</f>
        <v>1</v>
      </c>
      <c r="J104" t="b">
        <f t="shared" si="1"/>
        <v>0</v>
      </c>
    </row>
    <row r="105" spans="2:10" x14ac:dyDescent="0.4">
      <c r="B105" s="4" t="str">
        <f>사업장!B104</f>
        <v>W620</v>
      </c>
      <c r="C105" s="4" t="str">
        <f>사업장!C104</f>
        <v>주식회사 이랜드이츠 애슐리클래식홈플러스대구성서점</v>
      </c>
      <c r="D105" s="4">
        <f>사업장!D104</f>
        <v>6468501118</v>
      </c>
      <c r="E105" s="13">
        <f>사업장!N104</f>
        <v>61767381</v>
      </c>
      <c r="F105" s="13">
        <f>사업장!O104</f>
        <v>6176737</v>
      </c>
      <c r="G105" s="13">
        <f>사업장!P104</f>
        <v>237642</v>
      </c>
      <c r="H105" s="4" t="b">
        <f>사업장!Q104</f>
        <v>1</v>
      </c>
      <c r="I105" s="4" t="b">
        <f>사업장!R104</f>
        <v>1</v>
      </c>
      <c r="J105" t="b">
        <f t="shared" si="1"/>
        <v>0</v>
      </c>
    </row>
    <row r="106" spans="2:10" x14ac:dyDescent="0.4">
      <c r="B106" s="4" t="str">
        <f>사업장!B105</f>
        <v>W624</v>
      </c>
      <c r="C106" s="4" t="str">
        <f>사업장!C105</f>
        <v>애슐리더블유지에스전주점</v>
      </c>
      <c r="D106" s="4">
        <f>사업장!D105</f>
        <v>5668501170</v>
      </c>
      <c r="E106" s="13">
        <f>사업장!N105</f>
        <v>18664134</v>
      </c>
      <c r="F106" s="13">
        <f>사업장!O105</f>
        <v>1866411</v>
      </c>
      <c r="G106" s="13">
        <f>사업장!P105</f>
        <v>3985795</v>
      </c>
      <c r="H106" s="4" t="b">
        <f>사업장!Q105</f>
        <v>1</v>
      </c>
      <c r="I106" s="4" t="b">
        <f>사업장!R105</f>
        <v>1</v>
      </c>
      <c r="J106" t="b">
        <f t="shared" si="1"/>
        <v>0</v>
      </c>
    </row>
    <row r="107" spans="2:10" x14ac:dyDescent="0.4">
      <c r="B107" s="4" t="str">
        <f>사업장!B106</f>
        <v>W625</v>
      </c>
      <c r="C107" s="4" t="str">
        <f>사업장!C106</f>
        <v>애슐리W서울대입구</v>
      </c>
      <c r="D107" s="4">
        <f>사업장!D106</f>
        <v>3348501097</v>
      </c>
      <c r="E107" s="13">
        <f>사업장!N106</f>
        <v>114729128</v>
      </c>
      <c r="F107" s="13">
        <f>사업장!O106</f>
        <v>11472589</v>
      </c>
      <c r="G107" s="13">
        <f>사업장!P106</f>
        <v>0</v>
      </c>
      <c r="H107" s="4" t="b">
        <f>사업장!Q106</f>
        <v>1</v>
      </c>
      <c r="I107" s="4" t="b">
        <f>사업장!R106</f>
        <v>0</v>
      </c>
      <c r="J107" t="b">
        <f t="shared" si="1"/>
        <v>0</v>
      </c>
    </row>
    <row r="108" spans="2:10" x14ac:dyDescent="0.4">
      <c r="B108" s="4" t="str">
        <f>사업장!B107</f>
        <v>W626</v>
      </c>
      <c r="C108" s="4" t="str">
        <f>사업장!C107</f>
        <v>애술리갤러리아센터시티</v>
      </c>
      <c r="D108" s="4">
        <f>사업장!D107</f>
        <v>4788501193</v>
      </c>
      <c r="E108" s="13">
        <f>사업장!N107</f>
        <v>84922928</v>
      </c>
      <c r="F108" s="13">
        <f>사업장!O107</f>
        <v>8492301</v>
      </c>
      <c r="G108" s="13">
        <f>사업장!P107</f>
        <v>10467096</v>
      </c>
      <c r="H108" s="4" t="b">
        <f>사업장!Q107</f>
        <v>1</v>
      </c>
      <c r="I108" s="4" t="b">
        <f>사업장!R107</f>
        <v>1</v>
      </c>
      <c r="J108" t="b">
        <f t="shared" si="1"/>
        <v>0</v>
      </c>
    </row>
    <row r="109" spans="2:10" x14ac:dyDescent="0.4">
      <c r="B109" s="4" t="str">
        <f>사업장!B108</f>
        <v>W627</v>
      </c>
      <c r="C109" s="4" t="str">
        <f>사업장!C108</f>
        <v>㈜이랜드이츠 애슐리대구동아쇼핑</v>
      </c>
      <c r="D109" s="4">
        <f>사업장!D108</f>
        <v>6048512950</v>
      </c>
      <c r="E109" s="13">
        <f>사업장!N108</f>
        <v>177370155</v>
      </c>
      <c r="F109" s="13">
        <f>사업장!O108</f>
        <v>17737017</v>
      </c>
      <c r="G109" s="13">
        <f>사업장!P108</f>
        <v>0</v>
      </c>
      <c r="H109" s="4" t="b">
        <f>사업장!Q108</f>
        <v>1</v>
      </c>
      <c r="I109" s="4" t="b">
        <f>사업장!R108</f>
        <v>0</v>
      </c>
      <c r="J109" t="b">
        <f t="shared" si="1"/>
        <v>0</v>
      </c>
    </row>
    <row r="110" spans="2:10" x14ac:dyDescent="0.4">
      <c r="B110" s="4" t="str">
        <f>사업장!B109</f>
        <v>W628</v>
      </c>
      <c r="C110" s="4" t="str">
        <f>사업장!C109</f>
        <v>㈜이랜드이츠 자연별곡동아쇼핑점</v>
      </c>
      <c r="D110" s="4">
        <f>사업장!D109</f>
        <v>6488501055</v>
      </c>
      <c r="E110" s="13">
        <f>사업장!N109</f>
        <v>30442921</v>
      </c>
      <c r="F110" s="13">
        <f>사업장!O109</f>
        <v>3044286</v>
      </c>
      <c r="G110" s="13">
        <f>사업장!P109</f>
        <v>0</v>
      </c>
      <c r="H110" s="4" t="b">
        <f>사업장!Q109</f>
        <v>1</v>
      </c>
      <c r="I110" s="4" t="b">
        <f>사업장!R109</f>
        <v>0</v>
      </c>
      <c r="J110" t="b">
        <f t="shared" si="1"/>
        <v>0</v>
      </c>
    </row>
    <row r="111" spans="2:10" x14ac:dyDescent="0.4">
      <c r="B111" s="4" t="str">
        <f>사업장!B110</f>
        <v>W629</v>
      </c>
      <c r="C111" s="4" t="str">
        <f>사업장!C110</f>
        <v>㈜이랜드이츠 후원 뉴코아모란점</v>
      </c>
      <c r="D111" s="4">
        <f>사업장!D110</f>
        <v>6288501221</v>
      </c>
      <c r="E111" s="13">
        <f>사업장!N110</f>
        <v>7897802</v>
      </c>
      <c r="F111" s="13">
        <f>사업장!O110</f>
        <v>789778</v>
      </c>
      <c r="G111" s="13">
        <f>사업장!P110</f>
        <v>0</v>
      </c>
      <c r="H111" s="4" t="b">
        <f>사업장!Q110</f>
        <v>1</v>
      </c>
      <c r="I111" s="4" t="b">
        <f>사업장!R110</f>
        <v>0</v>
      </c>
      <c r="J111" t="b">
        <f t="shared" si="1"/>
        <v>0</v>
      </c>
    </row>
    <row r="112" spans="2:10" x14ac:dyDescent="0.4">
      <c r="B112" s="4" t="str">
        <f>사업장!B111</f>
        <v>W631</v>
      </c>
      <c r="C112" s="4" t="str">
        <f>사업장!C111</f>
        <v>리미니 뉴코아 모란점</v>
      </c>
      <c r="D112" s="4">
        <f>사업장!D111</f>
        <v>1958501226</v>
      </c>
      <c r="E112" s="13">
        <f>사업장!N111</f>
        <v>4777180</v>
      </c>
      <c r="F112" s="13">
        <f>사업장!O111</f>
        <v>477717</v>
      </c>
      <c r="G112" s="13">
        <f>사업장!P111</f>
        <v>0</v>
      </c>
      <c r="H112" s="4" t="b">
        <f>사업장!Q111</f>
        <v>1</v>
      </c>
      <c r="I112" s="4" t="b">
        <f>사업장!R111</f>
        <v>0</v>
      </c>
      <c r="J112" t="b">
        <f t="shared" si="1"/>
        <v>0</v>
      </c>
    </row>
    <row r="113" spans="2:10" x14ac:dyDescent="0.4">
      <c r="B113" s="4" t="str">
        <f>사업장!B112</f>
        <v>W632</v>
      </c>
      <c r="C113" s="4" t="str">
        <f>사업장!C112</f>
        <v>㈜이랜드이츠 가산월드점</v>
      </c>
      <c r="D113" s="4">
        <f>사업장!D112</f>
        <v>5518501014</v>
      </c>
      <c r="E113" s="13">
        <f>사업장!N112</f>
        <v>401568627</v>
      </c>
      <c r="F113" s="13">
        <f>사업장!O112</f>
        <v>37837919</v>
      </c>
      <c r="G113" s="13">
        <f>사업장!P112</f>
        <v>227951070</v>
      </c>
      <c r="H113" s="4" t="b">
        <f>사업장!Q112</f>
        <v>1</v>
      </c>
      <c r="I113" s="4" t="b">
        <f>사업장!R112</f>
        <v>1</v>
      </c>
      <c r="J113" t="b">
        <f t="shared" si="1"/>
        <v>0</v>
      </c>
    </row>
    <row r="114" spans="2:10" x14ac:dyDescent="0.4">
      <c r="B114" s="4" t="str">
        <f>사업장!B113</f>
        <v>W633</v>
      </c>
      <c r="C114" s="4" t="str">
        <f>사업장!C113</f>
        <v>㈜이랜드이츠 애슐리W동탄메타폴리스점</v>
      </c>
      <c r="D114" s="4">
        <f>사업장!D113</f>
        <v>6338501335</v>
      </c>
      <c r="E114" s="13">
        <f>사업장!N113</f>
        <v>66695206</v>
      </c>
      <c r="F114" s="13">
        <f>사업장!O113</f>
        <v>6669520</v>
      </c>
      <c r="G114" s="13">
        <f>사업장!P113</f>
        <v>3065000</v>
      </c>
      <c r="H114" s="4" t="b">
        <f>사업장!Q113</f>
        <v>1</v>
      </c>
      <c r="I114" s="4" t="b">
        <f>사업장!R113</f>
        <v>1</v>
      </c>
      <c r="J114" t="b">
        <f t="shared" si="1"/>
        <v>0</v>
      </c>
    </row>
    <row r="115" spans="2:10" x14ac:dyDescent="0.4">
      <c r="B115" s="4" t="str">
        <f>사업장!B114</f>
        <v>W634</v>
      </c>
      <c r="C115" s="4" t="str">
        <f>사업장!C114</f>
        <v>㈜이랜드이츠 애슐리클래식롯데마트제주점</v>
      </c>
      <c r="D115" s="4">
        <f>사업장!D114</f>
        <v>5478501204</v>
      </c>
      <c r="E115" s="13">
        <f>사업장!N114</f>
        <v>32227611</v>
      </c>
      <c r="F115" s="13">
        <f>사업장!O114</f>
        <v>3222757</v>
      </c>
      <c r="G115" s="13">
        <f>사업장!P114</f>
        <v>6851061</v>
      </c>
      <c r="H115" s="4" t="b">
        <f>사업장!Q114</f>
        <v>1</v>
      </c>
      <c r="I115" s="4" t="b">
        <f>사업장!R114</f>
        <v>1</v>
      </c>
      <c r="J115" t="b">
        <f t="shared" si="1"/>
        <v>0</v>
      </c>
    </row>
    <row r="116" spans="2:10" x14ac:dyDescent="0.4">
      <c r="B116" s="4" t="str">
        <f>사업장!B115</f>
        <v>W635</v>
      </c>
      <c r="C116" s="4" t="str">
        <f>사업장!C115</f>
        <v>㈜이랜드이츠 더카페 인하대점</v>
      </c>
      <c r="D116" s="4">
        <f>사업장!D115</f>
        <v>5848500956</v>
      </c>
      <c r="E116" s="13">
        <f>사업장!N115</f>
        <v>16832403</v>
      </c>
      <c r="F116" s="13">
        <f>사업장!O115</f>
        <v>1683239</v>
      </c>
      <c r="G116" s="13">
        <f>사업장!P115</f>
        <v>0</v>
      </c>
      <c r="H116" s="4" t="b">
        <f>사업장!Q115</f>
        <v>1</v>
      </c>
      <c r="I116" s="4" t="b">
        <f>사업장!R115</f>
        <v>0</v>
      </c>
      <c r="J116" t="b">
        <f t="shared" si="1"/>
        <v>0</v>
      </c>
    </row>
    <row r="117" spans="2:10" x14ac:dyDescent="0.4">
      <c r="B117" s="4" t="str">
        <f>사업장!B116</f>
        <v>W636</v>
      </c>
      <c r="C117" s="4" t="str">
        <f>사업장!C116</f>
        <v>㈜이랜드이츠 애슐리W광주유스퀘어점</v>
      </c>
      <c r="D117" s="4">
        <f>사업장!D116</f>
        <v>5198501271</v>
      </c>
      <c r="E117" s="13">
        <f>사업장!N116</f>
        <v>298131083</v>
      </c>
      <c r="F117" s="13">
        <f>사업장!O116</f>
        <v>29813035</v>
      </c>
      <c r="G117" s="13">
        <f>사업장!P116</f>
        <v>0</v>
      </c>
      <c r="H117" s="4" t="b">
        <f>사업장!Q116</f>
        <v>1</v>
      </c>
      <c r="I117" s="4" t="b">
        <f>사업장!R116</f>
        <v>0</v>
      </c>
      <c r="J117" t="b">
        <f t="shared" si="1"/>
        <v>0</v>
      </c>
    </row>
    <row r="118" spans="2:10" x14ac:dyDescent="0.4">
      <c r="B118" s="4" t="str">
        <f>사업장!B117</f>
        <v>W637</v>
      </c>
      <c r="C118" s="4" t="str">
        <f>사업장!C117</f>
        <v>자연별곡 광주유스퀘어점</v>
      </c>
      <c r="D118" s="4">
        <f>사업장!D117</f>
        <v>5138535190</v>
      </c>
      <c r="E118" s="13">
        <f>사업장!N117</f>
        <v>0</v>
      </c>
      <c r="F118" s="13">
        <f>사업장!O117</f>
        <v>0</v>
      </c>
      <c r="G118" s="13">
        <f>사업장!P117</f>
        <v>0</v>
      </c>
      <c r="H118" s="4" t="b">
        <f>사업장!Q117</f>
        <v>0</v>
      </c>
      <c r="I118" s="4" t="b">
        <f>사업장!R117</f>
        <v>0</v>
      </c>
      <c r="J118" t="b">
        <f t="shared" si="1"/>
        <v>1</v>
      </c>
    </row>
    <row r="119" spans="2:10" x14ac:dyDescent="0.4">
      <c r="B119" s="4" t="str">
        <f>사업장!B118</f>
        <v>W638</v>
      </c>
      <c r="C119" s="4" t="str">
        <f>사업장!C118</f>
        <v>애슐리W 신촌점</v>
      </c>
      <c r="D119" s="4">
        <f>사업장!D118</f>
        <v>6798501059</v>
      </c>
      <c r="E119" s="13">
        <f>사업장!N118</f>
        <v>192453114</v>
      </c>
      <c r="F119" s="13">
        <f>사업장!O118</f>
        <v>19245116</v>
      </c>
      <c r="G119" s="13">
        <f>사업장!P118</f>
        <v>6718766</v>
      </c>
      <c r="H119" s="4" t="b">
        <f>사업장!Q118</f>
        <v>1</v>
      </c>
      <c r="I119" s="4" t="b">
        <f>사업장!R118</f>
        <v>1</v>
      </c>
      <c r="J119" t="b">
        <f t="shared" si="1"/>
        <v>0</v>
      </c>
    </row>
    <row r="120" spans="2:10" x14ac:dyDescent="0.4">
      <c r="B120" s="4" t="str">
        <f>사업장!B119</f>
        <v>W639</v>
      </c>
      <c r="C120" s="4" t="str">
        <f>사업장!C119</f>
        <v>㈜이랜드이츠 애슐리W목동행복한세상</v>
      </c>
      <c r="D120" s="4">
        <f>사업장!D119</f>
        <v>3858501116</v>
      </c>
      <c r="E120" s="13">
        <f>사업장!N119</f>
        <v>161854788</v>
      </c>
      <c r="F120" s="13">
        <f>사업장!O119</f>
        <v>16185256</v>
      </c>
      <c r="G120" s="13">
        <f>사업장!P119</f>
        <v>7669484</v>
      </c>
      <c r="H120" s="4" t="b">
        <f>사업장!Q119</f>
        <v>1</v>
      </c>
      <c r="I120" s="4" t="b">
        <f>사업장!R119</f>
        <v>1</v>
      </c>
      <c r="J120" t="b">
        <f t="shared" si="1"/>
        <v>0</v>
      </c>
    </row>
    <row r="121" spans="2:10" x14ac:dyDescent="0.4">
      <c r="B121" s="4" t="str">
        <f>사업장!B120</f>
        <v>W641</v>
      </c>
      <c r="C121" s="4" t="str">
        <f>사업장!C120</f>
        <v>주식회사 이랜드이츠 애슐리 강서NC점</v>
      </c>
      <c r="D121" s="4">
        <f>사업장!D120</f>
        <v>6878501007</v>
      </c>
      <c r="E121" s="13">
        <f>사업장!N120</f>
        <v>100041333</v>
      </c>
      <c r="F121" s="13">
        <f>사업장!O120</f>
        <v>10004135</v>
      </c>
      <c r="G121" s="13">
        <f>사업장!P120</f>
        <v>0</v>
      </c>
      <c r="H121" s="4" t="b">
        <f>사업장!Q120</f>
        <v>1</v>
      </c>
      <c r="I121" s="4" t="b">
        <f>사업장!R120</f>
        <v>0</v>
      </c>
      <c r="J121" t="b">
        <f t="shared" si="1"/>
        <v>0</v>
      </c>
    </row>
    <row r="122" spans="2:10" x14ac:dyDescent="0.4">
      <c r="B122" s="4" t="str">
        <f>사업장!B121</f>
        <v>W643</v>
      </c>
      <c r="C122" s="4" t="str">
        <f>사업장!C121</f>
        <v>주식회사 이랜드이츠(후원NC강서점)</v>
      </c>
      <c r="D122" s="4">
        <f>사업장!D121</f>
        <v>6598500963</v>
      </c>
      <c r="E122" s="13">
        <f>사업장!N121</f>
        <v>41394574</v>
      </c>
      <c r="F122" s="13">
        <f>사업장!O121</f>
        <v>4139456</v>
      </c>
      <c r="G122" s="13">
        <f>사업장!P121</f>
        <v>408000</v>
      </c>
      <c r="H122" s="4" t="b">
        <f>사업장!Q121</f>
        <v>1</v>
      </c>
      <c r="I122" s="4" t="b">
        <f>사업장!R121</f>
        <v>1</v>
      </c>
      <c r="J122" t="b">
        <f t="shared" si="1"/>
        <v>0</v>
      </c>
    </row>
    <row r="123" spans="2:10" x14ac:dyDescent="0.4">
      <c r="B123" s="4" t="str">
        <f>사업장!B122</f>
        <v>W644</v>
      </c>
      <c r="C123" s="4" t="str">
        <f>사업장!C122</f>
        <v>자연별곡 NC강서점</v>
      </c>
      <c r="D123" s="4">
        <f>사업장!D122</f>
        <v>8358501004</v>
      </c>
      <c r="E123" s="13">
        <f>사업장!N122</f>
        <v>52452160</v>
      </c>
      <c r="F123" s="13">
        <f>사업장!O122</f>
        <v>5245210</v>
      </c>
      <c r="G123" s="13">
        <f>사업장!P122</f>
        <v>846000</v>
      </c>
      <c r="H123" s="4" t="b">
        <f>사업장!Q122</f>
        <v>1</v>
      </c>
      <c r="I123" s="4" t="b">
        <f>사업장!R122</f>
        <v>1</v>
      </c>
      <c r="J123" t="b">
        <f t="shared" si="1"/>
        <v>0</v>
      </c>
    </row>
    <row r="124" spans="2:10" x14ac:dyDescent="0.4">
      <c r="B124" s="4" t="str">
        <f>사업장!B123</f>
        <v>W645</v>
      </c>
      <c r="C124" s="4" t="str">
        <f>사업장!C123</f>
        <v>주식회사 이랜드이츠 반궁NC강서점</v>
      </c>
      <c r="D124" s="4">
        <f>사업장!D123</f>
        <v>3278501110</v>
      </c>
      <c r="E124" s="13">
        <f>사업장!N123</f>
        <v>22398451</v>
      </c>
      <c r="F124" s="13">
        <f>사업장!O123</f>
        <v>2239849</v>
      </c>
      <c r="G124" s="13">
        <f>사업장!P123</f>
        <v>0</v>
      </c>
      <c r="H124" s="4" t="b">
        <f>사업장!Q123</f>
        <v>1</v>
      </c>
      <c r="I124" s="4" t="b">
        <f>사업장!R123</f>
        <v>0</v>
      </c>
      <c r="J124" t="b">
        <f t="shared" si="1"/>
        <v>0</v>
      </c>
    </row>
    <row r="125" spans="2:10" x14ac:dyDescent="0.4">
      <c r="B125" s="4" t="str">
        <f>사업장!B124</f>
        <v>W654</v>
      </c>
      <c r="C125" s="4" t="str">
        <f>사업장!C124</f>
        <v>㈜이랜드이츠 애슐리W NC부산대점</v>
      </c>
      <c r="D125" s="4">
        <f>사업장!D124</f>
        <v>4318501006</v>
      </c>
      <c r="E125" s="13">
        <f>사업장!N124</f>
        <v>86715656</v>
      </c>
      <c r="F125" s="13">
        <f>사업장!O124</f>
        <v>8671560</v>
      </c>
      <c r="G125" s="13">
        <f>사업장!P124</f>
        <v>750000</v>
      </c>
      <c r="H125" s="4" t="b">
        <f>사업장!Q124</f>
        <v>1</v>
      </c>
      <c r="I125" s="4" t="b">
        <f>사업장!R124</f>
        <v>1</v>
      </c>
      <c r="J125" t="b">
        <f t="shared" si="1"/>
        <v>0</v>
      </c>
    </row>
    <row r="126" spans="2:10" x14ac:dyDescent="0.4">
      <c r="B126" s="4" t="str">
        <f>사업장!B125</f>
        <v>W656</v>
      </c>
      <c r="C126" s="4" t="str">
        <f>사업장!C125</f>
        <v>㈜이랜드이츠 아시아문NC부산대점</v>
      </c>
      <c r="D126" s="4">
        <f>사업장!D125</f>
        <v>8048501107</v>
      </c>
      <c r="E126" s="13">
        <f>사업장!N125</f>
        <v>15563530</v>
      </c>
      <c r="F126" s="13">
        <f>사업장!O125</f>
        <v>1556280</v>
      </c>
      <c r="G126" s="13">
        <f>사업장!P125</f>
        <v>0</v>
      </c>
      <c r="H126" s="4" t="b">
        <f>사업장!Q125</f>
        <v>1</v>
      </c>
      <c r="I126" s="4" t="b">
        <f>사업장!R125</f>
        <v>0</v>
      </c>
      <c r="J126" t="b">
        <f t="shared" si="1"/>
        <v>0</v>
      </c>
    </row>
    <row r="127" spans="2:10" x14ac:dyDescent="0.4">
      <c r="B127" s="4" t="str">
        <f>사업장!B126</f>
        <v>W657</v>
      </c>
      <c r="C127" s="4" t="str">
        <f>사업장!C126</f>
        <v>더카페한림병원점(직영)</v>
      </c>
      <c r="D127" s="4">
        <f>사업장!D126</f>
        <v>4018520638</v>
      </c>
      <c r="E127" s="13">
        <f>사업장!N126</f>
        <v>23047764</v>
      </c>
      <c r="F127" s="13">
        <f>사업장!O126</f>
        <v>2304776</v>
      </c>
      <c r="G127" s="13">
        <f>사업장!P126</f>
        <v>180000</v>
      </c>
      <c r="H127" s="4" t="b">
        <f>사업장!Q126</f>
        <v>1</v>
      </c>
      <c r="I127" s="4" t="b">
        <f>사업장!R126</f>
        <v>1</v>
      </c>
      <c r="J127" t="b">
        <f t="shared" si="1"/>
        <v>0</v>
      </c>
    </row>
    <row r="128" spans="2:10" x14ac:dyDescent="0.4">
      <c r="B128" s="4" t="str">
        <f>사업장!B127</f>
        <v>W660</v>
      </c>
      <c r="C128" s="4" t="str">
        <f>사업장!C127</f>
        <v>㈜이랜드이츠 애슐리클랙식홈플러스인천연수점</v>
      </c>
      <c r="D128" s="4">
        <f>사업장!D127</f>
        <v>3798501052</v>
      </c>
      <c r="E128" s="13">
        <f>사업장!N127</f>
        <v>102147660</v>
      </c>
      <c r="F128" s="13">
        <f>사업장!O127</f>
        <v>10214637</v>
      </c>
      <c r="G128" s="13">
        <f>사업장!P127</f>
        <v>0</v>
      </c>
      <c r="H128" s="4" t="b">
        <f>사업장!Q127</f>
        <v>1</v>
      </c>
      <c r="I128" s="4" t="b">
        <f>사업장!R127</f>
        <v>0</v>
      </c>
      <c r="J128" t="b">
        <f t="shared" si="1"/>
        <v>0</v>
      </c>
    </row>
    <row r="129" spans="2:10" x14ac:dyDescent="0.4">
      <c r="B129" s="4" t="str">
        <f>사업장!B128</f>
        <v>W661</v>
      </c>
      <c r="C129" s="4" t="str">
        <f>사업장!C128</f>
        <v>㈜이랜드이츠 애슐리W군산수송점</v>
      </c>
      <c r="D129" s="4">
        <f>사업장!D128</f>
        <v>5608501172</v>
      </c>
      <c r="E129" s="13">
        <f>사업장!N128</f>
        <v>59500176</v>
      </c>
      <c r="F129" s="13">
        <f>사업장!O128</f>
        <v>5949597</v>
      </c>
      <c r="G129" s="13">
        <f>사업장!P128</f>
        <v>3316444</v>
      </c>
      <c r="H129" s="4" t="b">
        <f>사업장!Q128</f>
        <v>1</v>
      </c>
      <c r="I129" s="4" t="b">
        <f>사업장!R128</f>
        <v>1</v>
      </c>
      <c r="J129" t="b">
        <f t="shared" si="1"/>
        <v>0</v>
      </c>
    </row>
    <row r="130" spans="2:10" x14ac:dyDescent="0.4">
      <c r="B130" s="4" t="str">
        <f>사업장!B129</f>
        <v>W662</v>
      </c>
      <c r="C130" s="4" t="str">
        <f>사업장!C129</f>
        <v>애슐리W 강남2호점</v>
      </c>
      <c r="D130" s="4">
        <f>사업장!D129</f>
        <v>7088501226</v>
      </c>
      <c r="E130" s="13">
        <f>사업장!N129</f>
        <v>44449210</v>
      </c>
      <c r="F130" s="13">
        <f>사업장!O129</f>
        <v>4444917</v>
      </c>
      <c r="G130" s="13">
        <f>사업장!P129</f>
        <v>733265</v>
      </c>
      <c r="H130" s="4" t="b">
        <f>사업장!Q129</f>
        <v>1</v>
      </c>
      <c r="I130" s="4" t="b">
        <f>사업장!R129</f>
        <v>1</v>
      </c>
      <c r="J130" t="b">
        <f t="shared" si="1"/>
        <v>0</v>
      </c>
    </row>
    <row r="131" spans="2:10" x14ac:dyDescent="0.4">
      <c r="B131" s="4" t="str">
        <f>사업장!B130</f>
        <v>W663</v>
      </c>
      <c r="C131" s="4" t="str">
        <f>사업장!C130</f>
        <v>㈜이랜드이츠 애슐리클래식 뉴코아괴정점</v>
      </c>
      <c r="D131" s="4">
        <f>사업장!D130</f>
        <v>8718501112</v>
      </c>
      <c r="E131" s="13">
        <f>사업장!N130</f>
        <v>73909273</v>
      </c>
      <c r="F131" s="13">
        <f>사업장!O130</f>
        <v>7390913</v>
      </c>
      <c r="G131" s="13">
        <f>사업장!P130</f>
        <v>0</v>
      </c>
      <c r="H131" s="4" t="b">
        <f>사업장!Q130</f>
        <v>1</v>
      </c>
      <c r="I131" s="4" t="b">
        <f>사업장!R130</f>
        <v>0</v>
      </c>
      <c r="J131" t="b">
        <f t="shared" si="1"/>
        <v>0</v>
      </c>
    </row>
    <row r="132" spans="2:10" x14ac:dyDescent="0.4">
      <c r="B132" s="4" t="str">
        <f>사업장!B131</f>
        <v>W664</v>
      </c>
      <c r="C132" s="4" t="str">
        <f>사업장!C131</f>
        <v>애슐리W잠실롯데케슬점</v>
      </c>
      <c r="D132" s="4">
        <f>사업장!D131</f>
        <v>3658501091</v>
      </c>
      <c r="E132" s="13">
        <f>사업장!N131</f>
        <v>184178801</v>
      </c>
      <c r="F132" s="13">
        <f>사업장!O131</f>
        <v>18417584</v>
      </c>
      <c r="G132" s="13">
        <f>사업장!P131</f>
        <v>6516213</v>
      </c>
      <c r="H132" s="4" t="b">
        <f>사업장!Q131</f>
        <v>1</v>
      </c>
      <c r="I132" s="4" t="b">
        <f>사업장!R131</f>
        <v>1</v>
      </c>
      <c r="J132" t="b">
        <f t="shared" si="1"/>
        <v>0</v>
      </c>
    </row>
    <row r="133" spans="2:10" x14ac:dyDescent="0.4">
      <c r="B133" s="4" t="str">
        <f>사업장!B132</f>
        <v>W665</v>
      </c>
      <c r="C133" s="4" t="str">
        <f>사업장!C132</f>
        <v>애슐리W 종각역점</v>
      </c>
      <c r="D133" s="4">
        <f>사업장!D132</f>
        <v>4218501178</v>
      </c>
      <c r="E133" s="13">
        <f>사업장!N132</f>
        <v>146278464</v>
      </c>
      <c r="F133" s="13">
        <f>사업장!O132</f>
        <v>14627843</v>
      </c>
      <c r="G133" s="13">
        <f>사업장!P132</f>
        <v>0</v>
      </c>
      <c r="H133" s="4" t="b">
        <f>사업장!Q132</f>
        <v>1</v>
      </c>
      <c r="I133" s="4" t="b">
        <f>사업장!R132</f>
        <v>0</v>
      </c>
      <c r="J133" t="b">
        <f t="shared" ref="J133:J185" si="2">AND(H133=FALSE,I133=FALSE)</f>
        <v>0</v>
      </c>
    </row>
    <row r="134" spans="2:10" x14ac:dyDescent="0.4">
      <c r="B134" s="4" t="str">
        <f>사업장!B133</f>
        <v>W666</v>
      </c>
      <c r="C134" s="4" t="str">
        <f>사업장!C133</f>
        <v>㈜이랜드이츠 리미니 가양이마트</v>
      </c>
      <c r="D134" s="4">
        <f>사업장!D133</f>
        <v>3868501195</v>
      </c>
      <c r="E134" s="13">
        <f>사업장!N133</f>
        <v>32568542</v>
      </c>
      <c r="F134" s="13">
        <f>사업장!O133</f>
        <v>3256720</v>
      </c>
      <c r="G134" s="13">
        <f>사업장!P133</f>
        <v>2309202</v>
      </c>
      <c r="H134" s="4" t="b">
        <f>사업장!Q133</f>
        <v>1</v>
      </c>
      <c r="I134" s="4" t="b">
        <f>사업장!R133</f>
        <v>1</v>
      </c>
      <c r="J134" t="b">
        <f t="shared" si="2"/>
        <v>0</v>
      </c>
    </row>
    <row r="135" spans="2:10" x14ac:dyDescent="0.4">
      <c r="B135" s="4" t="str">
        <f>사업장!B134</f>
        <v>W667</v>
      </c>
      <c r="C135" s="4" t="str">
        <f>사업장!C134</f>
        <v>애슐리W뉴코아평택점</v>
      </c>
      <c r="D135" s="4">
        <f>사업장!D134</f>
        <v>6558501015</v>
      </c>
      <c r="E135" s="13">
        <f>사업장!N134</f>
        <v>156532652</v>
      </c>
      <c r="F135" s="13">
        <f>사업장!O134</f>
        <v>15652923</v>
      </c>
      <c r="G135" s="13">
        <f>사업장!P134</f>
        <v>0</v>
      </c>
      <c r="H135" s="4" t="b">
        <f>사업장!Q134</f>
        <v>1</v>
      </c>
      <c r="I135" s="4" t="b">
        <f>사업장!R134</f>
        <v>0</v>
      </c>
      <c r="J135" t="b">
        <f t="shared" si="2"/>
        <v>0</v>
      </c>
    </row>
    <row r="136" spans="2:10" x14ac:dyDescent="0.4">
      <c r="B136" s="4" t="str">
        <f>사업장!B135</f>
        <v>W670</v>
      </c>
      <c r="C136" s="4" t="str">
        <f>사업장!C135</f>
        <v>주식회사이랜드이츠 애슐리W NC충장점</v>
      </c>
      <c r="D136" s="4">
        <f>사업장!D135</f>
        <v>3198501098</v>
      </c>
      <c r="E136" s="13">
        <f>사업장!N135</f>
        <v>150277805</v>
      </c>
      <c r="F136" s="13">
        <f>사업장!O135</f>
        <v>15027774</v>
      </c>
      <c r="G136" s="13">
        <f>사업장!P135</f>
        <v>0</v>
      </c>
      <c r="H136" s="4" t="b">
        <f>사업장!Q135</f>
        <v>1</v>
      </c>
      <c r="I136" s="4" t="b">
        <f>사업장!R135</f>
        <v>0</v>
      </c>
      <c r="J136" t="b">
        <f t="shared" si="2"/>
        <v>0</v>
      </c>
    </row>
    <row r="137" spans="2:10" x14ac:dyDescent="0.4">
      <c r="B137" s="4" t="str">
        <f>사업장!B136</f>
        <v>W672</v>
      </c>
      <c r="C137" s="4" t="str">
        <f>사업장!C136</f>
        <v>애슐리W 홈플러스 인천청라점</v>
      </c>
      <c r="D137" s="4">
        <f>사업장!D136</f>
        <v>7408501026</v>
      </c>
      <c r="E137" s="13">
        <f>사업장!N136</f>
        <v>138493899</v>
      </c>
      <c r="F137" s="13">
        <f>사업장!O136</f>
        <v>13849183</v>
      </c>
      <c r="G137" s="13">
        <f>사업장!P136</f>
        <v>2137568</v>
      </c>
      <c r="H137" s="4" t="b">
        <f>사업장!Q136</f>
        <v>1</v>
      </c>
      <c r="I137" s="4" t="b">
        <f>사업장!R136</f>
        <v>1</v>
      </c>
      <c r="J137" t="b">
        <f t="shared" si="2"/>
        <v>0</v>
      </c>
    </row>
    <row r="138" spans="2:10" x14ac:dyDescent="0.4">
      <c r="B138" s="4" t="str">
        <f>사업장!B137</f>
        <v>W673</v>
      </c>
      <c r="C138" s="4" t="str">
        <f>사업장!C137</f>
        <v>(주)이랜드이츠 애슐리W김해외동점</v>
      </c>
      <c r="D138" s="4">
        <f>사업장!D137</f>
        <v>8568501068</v>
      </c>
      <c r="E138" s="13">
        <f>사업장!N137</f>
        <v>132519189</v>
      </c>
      <c r="F138" s="13">
        <f>사업장!O137</f>
        <v>13251767</v>
      </c>
      <c r="G138" s="13">
        <f>사업장!P137</f>
        <v>5379253</v>
      </c>
      <c r="H138" s="4" t="b">
        <f>사업장!Q137</f>
        <v>1</v>
      </c>
      <c r="I138" s="4" t="b">
        <f>사업장!R137</f>
        <v>1</v>
      </c>
      <c r="J138" t="b">
        <f t="shared" si="2"/>
        <v>0</v>
      </c>
    </row>
    <row r="139" spans="2:10" x14ac:dyDescent="0.4">
      <c r="B139" s="4" t="str">
        <f>사업장!B138</f>
        <v>W675</v>
      </c>
      <c r="C139" s="4" t="str">
        <f>사업장!C138</f>
        <v>애슐리W대구이월드점</v>
      </c>
      <c r="D139" s="4">
        <f>사업장!D138</f>
        <v>6458501148</v>
      </c>
      <c r="E139" s="13">
        <f>사업장!N138</f>
        <v>45557757</v>
      </c>
      <c r="F139" s="13">
        <f>사업장!O138</f>
        <v>4555775</v>
      </c>
      <c r="G139" s="13">
        <f>사업장!P138</f>
        <v>6498430</v>
      </c>
      <c r="H139" s="4" t="b">
        <f>사업장!Q138</f>
        <v>1</v>
      </c>
      <c r="I139" s="4" t="b">
        <f>사업장!R138</f>
        <v>1</v>
      </c>
      <c r="J139" t="b">
        <f t="shared" si="2"/>
        <v>0</v>
      </c>
    </row>
    <row r="140" spans="2:10" x14ac:dyDescent="0.4">
      <c r="B140" s="4" t="str">
        <f>사업장!B139</f>
        <v>W676</v>
      </c>
      <c r="C140" s="4" t="str">
        <f>사업장!C139</f>
        <v>㈜이랜드이츠외식대구이월드점</v>
      </c>
      <c r="D140" s="4">
        <f>사업장!D139</f>
        <v>6148502589</v>
      </c>
      <c r="E140" s="13">
        <f>사업장!N139</f>
        <v>7010</v>
      </c>
      <c r="F140" s="13">
        <f>사업장!O139</f>
        <v>701</v>
      </c>
      <c r="G140" s="13">
        <f>사업장!P139</f>
        <v>0</v>
      </c>
      <c r="H140" s="4" t="b">
        <f>사업장!Q139</f>
        <v>1</v>
      </c>
      <c r="I140" s="4" t="b">
        <f>사업장!R139</f>
        <v>0</v>
      </c>
      <c r="J140" t="b">
        <f t="shared" si="2"/>
        <v>0</v>
      </c>
    </row>
    <row r="141" spans="2:10" x14ac:dyDescent="0.4">
      <c r="B141" s="4" t="str">
        <f>사업장!B140</f>
        <v>W677</v>
      </c>
      <c r="C141" s="4" t="str">
        <f>사업장!C140</f>
        <v>주식회사 이랜드이츠(리미니대구83타워점)</v>
      </c>
      <c r="D141" s="4">
        <f>사업장!D140</f>
        <v>2938501122</v>
      </c>
      <c r="E141" s="13">
        <f>사업장!N140</f>
        <v>7990280</v>
      </c>
      <c r="F141" s="13">
        <f>사업장!O140</f>
        <v>799025</v>
      </c>
      <c r="G141" s="13">
        <f>사업장!P140</f>
        <v>0</v>
      </c>
      <c r="H141" s="4" t="b">
        <f>사업장!Q140</f>
        <v>1</v>
      </c>
      <c r="I141" s="4" t="b">
        <f>사업장!R140</f>
        <v>0</v>
      </c>
      <c r="J141" t="b">
        <f t="shared" si="2"/>
        <v>0</v>
      </c>
    </row>
    <row r="142" spans="2:10" x14ac:dyDescent="0.4">
      <c r="B142" s="4" t="str">
        <f>사업장!B141</f>
        <v>W679</v>
      </c>
      <c r="C142" s="4" t="str">
        <f>사업장!C141</f>
        <v>㈜이랜드이츠 애슐리W청주지웰시티점</v>
      </c>
      <c r="D142" s="4">
        <f>사업장!D141</f>
        <v>7058501080</v>
      </c>
      <c r="E142" s="13">
        <f>사업장!N141</f>
        <v>25094036</v>
      </c>
      <c r="F142" s="13">
        <f>사업장!O141</f>
        <v>2509409</v>
      </c>
      <c r="G142" s="13">
        <f>사업장!P141</f>
        <v>6061910</v>
      </c>
      <c r="H142" s="4" t="b">
        <f>사업장!Q141</f>
        <v>1</v>
      </c>
      <c r="I142" s="4" t="b">
        <f>사업장!R141</f>
        <v>1</v>
      </c>
      <c r="J142" t="b">
        <f t="shared" si="2"/>
        <v>0</v>
      </c>
    </row>
    <row r="143" spans="2:10" x14ac:dyDescent="0.4">
      <c r="B143" s="4" t="str">
        <f>사업장!B142</f>
        <v>W680</v>
      </c>
      <c r="C143" s="4" t="str">
        <f>사업장!C142</f>
        <v>애슐리W홈플러스 상봉점</v>
      </c>
      <c r="D143" s="4">
        <f>사업장!D142</f>
        <v>1168510800</v>
      </c>
      <c r="E143" s="13">
        <f>사업장!N142</f>
        <v>84526146</v>
      </c>
      <c r="F143" s="13">
        <f>사업장!O142</f>
        <v>8452363</v>
      </c>
      <c r="G143" s="13">
        <f>사업장!P142</f>
        <v>0</v>
      </c>
      <c r="H143" s="4" t="b">
        <f>사업장!Q142</f>
        <v>1</v>
      </c>
      <c r="I143" s="4" t="b">
        <f>사업장!R142</f>
        <v>0</v>
      </c>
      <c r="J143" t="b">
        <f t="shared" si="2"/>
        <v>0</v>
      </c>
    </row>
    <row r="144" spans="2:10" x14ac:dyDescent="0.4">
      <c r="B144" s="4" t="str">
        <f>사업장!B143</f>
        <v>W681</v>
      </c>
      <c r="C144" s="4" t="str">
        <f>사업장!C143</f>
        <v>주식회사 이랜드이츠 자연별곡NC 광주역점</v>
      </c>
      <c r="D144" s="4">
        <f>사업장!D143</f>
        <v>3108521665</v>
      </c>
      <c r="E144" s="13">
        <f>사업장!N143</f>
        <v>16854338</v>
      </c>
      <c r="F144" s="13">
        <f>사업장!O143</f>
        <v>1685423</v>
      </c>
      <c r="G144" s="13">
        <f>사업장!P143</f>
        <v>0</v>
      </c>
      <c r="H144" s="4" t="b">
        <f>사업장!Q143</f>
        <v>1</v>
      </c>
      <c r="I144" s="4" t="b">
        <f>사업장!R143</f>
        <v>0</v>
      </c>
      <c r="J144" t="b">
        <f t="shared" si="2"/>
        <v>0</v>
      </c>
    </row>
    <row r="145" spans="2:10" x14ac:dyDescent="0.4">
      <c r="B145" s="4" t="str">
        <f>사업장!B144</f>
        <v>W682</v>
      </c>
      <c r="C145" s="4" t="str">
        <f>사업장!C144</f>
        <v>애슐리W 아산터미널점</v>
      </c>
      <c r="D145" s="4">
        <f>사업장!D144</f>
        <v>4318501025</v>
      </c>
      <c r="E145" s="13">
        <f>사업장!N144</f>
        <v>54773029</v>
      </c>
      <c r="F145" s="13">
        <f>사업장!O144</f>
        <v>5476995</v>
      </c>
      <c r="G145" s="13">
        <f>사업장!P144</f>
        <v>5416800</v>
      </c>
      <c r="H145" s="4" t="b">
        <f>사업장!Q144</f>
        <v>1</v>
      </c>
      <c r="I145" s="4" t="b">
        <f>사업장!R144</f>
        <v>1</v>
      </c>
      <c r="J145" t="b">
        <f t="shared" si="2"/>
        <v>0</v>
      </c>
    </row>
    <row r="146" spans="2:10" x14ac:dyDescent="0.4">
      <c r="B146" s="4" t="str">
        <f>사업장!B145</f>
        <v>W683</v>
      </c>
      <c r="C146" s="4" t="str">
        <f>사업장!C145</f>
        <v>리미니 아산터미널점</v>
      </c>
      <c r="D146" s="4">
        <f>사업장!D145</f>
        <v>6328501249</v>
      </c>
      <c r="E146" s="13">
        <f>사업장!N145</f>
        <v>26449986</v>
      </c>
      <c r="F146" s="13">
        <f>사업장!O145</f>
        <v>2644993</v>
      </c>
      <c r="G146" s="13">
        <f>사업장!P145</f>
        <v>5416800</v>
      </c>
      <c r="H146" s="4" t="b">
        <f>사업장!Q145</f>
        <v>1</v>
      </c>
      <c r="I146" s="4" t="b">
        <f>사업장!R145</f>
        <v>1</v>
      </c>
      <c r="J146" t="b">
        <f t="shared" si="2"/>
        <v>0</v>
      </c>
    </row>
    <row r="147" spans="2:10" x14ac:dyDescent="0.4">
      <c r="B147" s="4" t="str">
        <f>사업장!B146</f>
        <v>W684</v>
      </c>
      <c r="C147" s="4" t="str">
        <f>사업장!C146</f>
        <v>㈜이랜드이츠 애슐리클래식 홈플러스 김포풍무점</v>
      </c>
      <c r="D147" s="4">
        <f>사업장!D146</f>
        <v>6198503303</v>
      </c>
      <c r="E147" s="13">
        <f>사업장!N146</f>
        <v>41875779</v>
      </c>
      <c r="F147" s="13">
        <f>사업장!O146</f>
        <v>4187398</v>
      </c>
      <c r="G147" s="13">
        <f>사업장!P146</f>
        <v>0</v>
      </c>
      <c r="H147" s="4" t="b">
        <f>사업장!Q146</f>
        <v>1</v>
      </c>
      <c r="I147" s="4" t="b">
        <f>사업장!R146</f>
        <v>0</v>
      </c>
      <c r="J147" t="b">
        <f t="shared" si="2"/>
        <v>0</v>
      </c>
    </row>
    <row r="148" spans="2:10" x14ac:dyDescent="0.4">
      <c r="B148" s="4" t="str">
        <f>사업장!B147</f>
        <v>W686</v>
      </c>
      <c r="C148" s="4" t="str">
        <f>사업장!C147</f>
        <v>㈜이랜드이츠 애슐리 동성로점</v>
      </c>
      <c r="D148" s="4">
        <f>사업장!D147</f>
        <v>4178516309</v>
      </c>
      <c r="E148" s="13">
        <f>사업장!N147</f>
        <v>161575635</v>
      </c>
      <c r="F148" s="13">
        <f>사업장!O147</f>
        <v>16157368</v>
      </c>
      <c r="G148" s="13">
        <f>사업장!P147</f>
        <v>3489600</v>
      </c>
      <c r="H148" s="4" t="b">
        <f>사업장!Q147</f>
        <v>1</v>
      </c>
      <c r="I148" s="4" t="b">
        <f>사업장!R147</f>
        <v>1</v>
      </c>
      <c r="J148" t="b">
        <f t="shared" si="2"/>
        <v>0</v>
      </c>
    </row>
    <row r="149" spans="2:10" x14ac:dyDescent="0.4">
      <c r="B149" s="4" t="str">
        <f>사업장!B148</f>
        <v>W687</v>
      </c>
      <c r="C149" s="4" t="str">
        <f>사업장!C148</f>
        <v>㈜이랜드이츠 자연별곡 동성로점</v>
      </c>
      <c r="D149" s="4">
        <f>사업장!D148</f>
        <v>2118576204</v>
      </c>
      <c r="E149" s="13">
        <f>사업장!N148</f>
        <v>33448496</v>
      </c>
      <c r="F149" s="13">
        <f>사업장!O148</f>
        <v>3344845</v>
      </c>
      <c r="G149" s="13">
        <f>사업장!P148</f>
        <v>1862400</v>
      </c>
      <c r="H149" s="4" t="b">
        <f>사업장!Q148</f>
        <v>1</v>
      </c>
      <c r="I149" s="4" t="b">
        <f>사업장!R148</f>
        <v>1</v>
      </c>
      <c r="J149" t="b">
        <f t="shared" si="2"/>
        <v>0</v>
      </c>
    </row>
    <row r="150" spans="2:10" x14ac:dyDescent="0.4">
      <c r="B150" s="4" t="str">
        <f>사업장!B149</f>
        <v>W689</v>
      </c>
      <c r="C150" s="4" t="str">
        <f>사업장!C149</f>
        <v>㈜이랜드이츠 애슐리W 미금역점</v>
      </c>
      <c r="D150" s="4">
        <f>사업장!D149</f>
        <v>8518501122</v>
      </c>
      <c r="E150" s="13">
        <f>사업장!N149</f>
        <v>157692247</v>
      </c>
      <c r="F150" s="13">
        <f>사업장!O149</f>
        <v>15769072</v>
      </c>
      <c r="G150" s="13">
        <f>사업장!P149</f>
        <v>4898570</v>
      </c>
      <c r="H150" s="4" t="b">
        <f>사업장!Q149</f>
        <v>1</v>
      </c>
      <c r="I150" s="4" t="b">
        <f>사업장!R149</f>
        <v>1</v>
      </c>
      <c r="J150" t="b">
        <f t="shared" si="2"/>
        <v>0</v>
      </c>
    </row>
    <row r="151" spans="2:10" x14ac:dyDescent="0.4">
      <c r="B151" s="4" t="str">
        <f>사업장!B150</f>
        <v>W690</v>
      </c>
      <c r="C151" s="4" t="str">
        <f>사업장!C150</f>
        <v>㈜이랜드이츠 수사 미금역점</v>
      </c>
      <c r="D151" s="4">
        <f>사업장!D150</f>
        <v>8378501029</v>
      </c>
      <c r="E151" s="13">
        <f>사업장!N150</f>
        <v>130260912</v>
      </c>
      <c r="F151" s="13">
        <f>사업장!O150</f>
        <v>13026093</v>
      </c>
      <c r="G151" s="13">
        <f>사업장!P150</f>
        <v>524940</v>
      </c>
      <c r="H151" s="4" t="b">
        <f>사업장!Q150</f>
        <v>1</v>
      </c>
      <c r="I151" s="4" t="b">
        <f>사업장!R150</f>
        <v>1</v>
      </c>
      <c r="J151" t="b">
        <f t="shared" si="2"/>
        <v>0</v>
      </c>
    </row>
    <row r="152" spans="2:10" x14ac:dyDescent="0.4">
      <c r="B152" s="4" t="str">
        <f>사업장!B151</f>
        <v>W691</v>
      </c>
      <c r="C152" s="4" t="str">
        <f>사업장!C151</f>
        <v>㈜이랜드이츠 애슐리W NC이천점</v>
      </c>
      <c r="D152" s="4">
        <f>사업장!D151</f>
        <v>6708501071</v>
      </c>
      <c r="E152" s="13">
        <f>사업장!N151</f>
        <v>1754529</v>
      </c>
      <c r="F152" s="13">
        <f>사업장!O151</f>
        <v>175452</v>
      </c>
      <c r="G152" s="13">
        <f>사업장!P151</f>
        <v>0</v>
      </c>
      <c r="H152" s="4" t="b">
        <f>사업장!Q151</f>
        <v>1</v>
      </c>
      <c r="I152" s="4" t="b">
        <f>사업장!R151</f>
        <v>0</v>
      </c>
      <c r="J152" t="b">
        <f t="shared" si="2"/>
        <v>0</v>
      </c>
    </row>
    <row r="153" spans="2:10" x14ac:dyDescent="0.4">
      <c r="B153" s="4" t="str">
        <f>사업장!B152</f>
        <v>W692</v>
      </c>
      <c r="C153" s="4" t="str">
        <f>사업장!C152</f>
        <v>㈜이랜드이츠 자연별곡NC이천점</v>
      </c>
      <c r="D153" s="4">
        <f>사업장!D152</f>
        <v>3048511783</v>
      </c>
      <c r="E153" s="13">
        <f>사업장!N152</f>
        <v>13377735</v>
      </c>
      <c r="F153" s="13">
        <f>사업장!O152</f>
        <v>1337773</v>
      </c>
      <c r="G153" s="13">
        <f>사업장!P152</f>
        <v>0</v>
      </c>
      <c r="H153" s="4" t="b">
        <f>사업장!Q152</f>
        <v>1</v>
      </c>
      <c r="I153" s="4" t="b">
        <f>사업장!R152</f>
        <v>0</v>
      </c>
      <c r="J153" t="b">
        <f t="shared" si="2"/>
        <v>0</v>
      </c>
    </row>
    <row r="154" spans="2:10" x14ac:dyDescent="0.4">
      <c r="B154" s="4" t="str">
        <f>사업장!B153</f>
        <v>W693</v>
      </c>
      <c r="C154" s="4" t="str">
        <f>사업장!C153</f>
        <v>㈜이랜드이츠 애슐리W중앙로역점</v>
      </c>
      <c r="D154" s="4">
        <f>사업장!D153</f>
        <v>1828501249</v>
      </c>
      <c r="E154" s="13">
        <f>사업장!N153</f>
        <v>150491339</v>
      </c>
      <c r="F154" s="13">
        <f>사업장!O153</f>
        <v>15048970</v>
      </c>
      <c r="G154" s="13">
        <f>사업장!P153</f>
        <v>2281400</v>
      </c>
      <c r="H154" s="4" t="b">
        <f>사업장!Q153</f>
        <v>1</v>
      </c>
      <c r="I154" s="4" t="b">
        <f>사업장!R153</f>
        <v>1</v>
      </c>
      <c r="J154" t="b">
        <f t="shared" si="2"/>
        <v>0</v>
      </c>
    </row>
    <row r="155" spans="2:10" x14ac:dyDescent="0.4">
      <c r="B155" s="4" t="str">
        <f>사업장!B154</f>
        <v>W694</v>
      </c>
      <c r="C155" s="4" t="str">
        <f>사업장!C154</f>
        <v>㈜이랜드이츠 자연별곡NC중앙로역점</v>
      </c>
      <c r="D155" s="4">
        <f>사업장!D154</f>
        <v>1788501139</v>
      </c>
      <c r="E155" s="13">
        <f>사업장!N154</f>
        <v>28851349</v>
      </c>
      <c r="F155" s="13">
        <f>사업장!O154</f>
        <v>2885126</v>
      </c>
      <c r="G155" s="13">
        <f>사업장!P154</f>
        <v>1315800</v>
      </c>
      <c r="H155" s="4" t="b">
        <f>사업장!Q154</f>
        <v>1</v>
      </c>
      <c r="I155" s="4" t="b">
        <f>사업장!R154</f>
        <v>1</v>
      </c>
      <c r="J155" t="b">
        <f t="shared" si="2"/>
        <v>0</v>
      </c>
    </row>
    <row r="156" spans="2:10" x14ac:dyDescent="0.4">
      <c r="B156" s="4" t="str">
        <f>사업장!B155</f>
        <v>W696</v>
      </c>
      <c r="C156" s="4" t="str">
        <f>사업장!C155</f>
        <v>자연별곡목동점</v>
      </c>
      <c r="D156" s="4">
        <f>사업장!D155</f>
        <v>3528501023</v>
      </c>
      <c r="E156" s="13">
        <f>사업장!N155</f>
        <v>133790023</v>
      </c>
      <c r="F156" s="13">
        <f>사업장!O155</f>
        <v>13378915</v>
      </c>
      <c r="G156" s="13">
        <f>사업장!P155</f>
        <v>0</v>
      </c>
      <c r="H156" s="4" t="b">
        <f>사업장!Q155</f>
        <v>1</v>
      </c>
      <c r="I156" s="4" t="b">
        <f>사업장!R155</f>
        <v>0</v>
      </c>
      <c r="J156" t="b">
        <f t="shared" si="2"/>
        <v>0</v>
      </c>
    </row>
    <row r="157" spans="2:10" x14ac:dyDescent="0.4">
      <c r="B157" s="4" t="str">
        <f>사업장!B156</f>
        <v>W697</v>
      </c>
      <c r="C157" s="4" t="str">
        <f>사업장!C156</f>
        <v>㈜이랜드이츠 수사목동점</v>
      </c>
      <c r="D157" s="4">
        <f>사업장!D156</f>
        <v>1958501231</v>
      </c>
      <c r="E157" s="13">
        <f>사업장!N156</f>
        <v>63507831</v>
      </c>
      <c r="F157" s="13">
        <f>사업장!O156</f>
        <v>6350565</v>
      </c>
      <c r="G157" s="13">
        <f>사업장!P156</f>
        <v>0</v>
      </c>
      <c r="H157" s="4" t="b">
        <f>사업장!Q156</f>
        <v>1</v>
      </c>
      <c r="I157" s="4" t="b">
        <f>사업장!R156</f>
        <v>0</v>
      </c>
      <c r="J157" t="b">
        <f t="shared" si="2"/>
        <v>0</v>
      </c>
    </row>
    <row r="158" spans="2:10" x14ac:dyDescent="0.4">
      <c r="B158" s="4" t="str">
        <f>사업장!B157</f>
        <v>W698</v>
      </c>
      <c r="C158" s="4" t="str">
        <f>사업장!C157</f>
        <v>㈜이랜드이츠 수원망포점</v>
      </c>
      <c r="D158" s="4">
        <f>사업장!D157</f>
        <v>3738501224</v>
      </c>
      <c r="E158" s="13">
        <f>사업장!N157</f>
        <v>114884554</v>
      </c>
      <c r="F158" s="13">
        <f>사업장!O157</f>
        <v>11488170</v>
      </c>
      <c r="G158" s="13">
        <f>사업장!P157</f>
        <v>0</v>
      </c>
      <c r="H158" s="4" t="b">
        <f>사업장!Q157</f>
        <v>1</v>
      </c>
      <c r="I158" s="4" t="b">
        <f>사업장!R157</f>
        <v>0</v>
      </c>
      <c r="J158" t="b">
        <f t="shared" si="2"/>
        <v>0</v>
      </c>
    </row>
    <row r="159" spans="2:10" x14ac:dyDescent="0.4">
      <c r="B159" s="4" t="str">
        <f>사업장!B158</f>
        <v>W699</v>
      </c>
      <c r="C159" s="4" t="str">
        <f>사업장!C158</f>
        <v>㈜이랜드이츠 자연별곡 수원망포점</v>
      </c>
      <c r="D159" s="4">
        <f>사업장!D158</f>
        <v>5458501265</v>
      </c>
      <c r="E159" s="13">
        <f>사업장!N158</f>
        <v>53901355</v>
      </c>
      <c r="F159" s="13">
        <f>사업장!O158</f>
        <v>5390134</v>
      </c>
      <c r="G159" s="13">
        <f>사업장!P158</f>
        <v>2311424</v>
      </c>
      <c r="H159" s="4" t="b">
        <f>사업장!Q158</f>
        <v>1</v>
      </c>
      <c r="I159" s="4" t="b">
        <f>사업장!R158</f>
        <v>1</v>
      </c>
      <c r="J159" t="b">
        <f t="shared" si="2"/>
        <v>0</v>
      </c>
    </row>
    <row r="160" spans="2:10" x14ac:dyDescent="0.4">
      <c r="B160" s="4" t="str">
        <f>사업장!B159</f>
        <v>W700</v>
      </c>
      <c r="C160" s="4" t="str">
        <f>사업장!C159</f>
        <v>㈜이랜드이츠 애슐리더블유전주에스티에스점</v>
      </c>
      <c r="D160" s="4">
        <f>사업장!D159</f>
        <v>5868501344</v>
      </c>
      <c r="E160" s="13">
        <f>사업장!N159</f>
        <v>156282969</v>
      </c>
      <c r="F160" s="13">
        <f>사업장!O159</f>
        <v>15628019</v>
      </c>
      <c r="G160" s="13">
        <f>사업장!P159</f>
        <v>0</v>
      </c>
      <c r="H160" s="4" t="b">
        <f>사업장!Q159</f>
        <v>1</v>
      </c>
      <c r="I160" s="4" t="b">
        <f>사업장!R159</f>
        <v>0</v>
      </c>
      <c r="J160" t="b">
        <f t="shared" si="2"/>
        <v>0</v>
      </c>
    </row>
    <row r="161" spans="2:10" x14ac:dyDescent="0.4">
      <c r="B161" s="4" t="str">
        <f>사업장!B160</f>
        <v>W701</v>
      </c>
      <c r="C161" s="4" t="str">
        <f>사업장!C160</f>
        <v>㈜이랜드이츠 애슐리W 구로지밸리몰점</v>
      </c>
      <c r="D161" s="4">
        <f>사업장!D160</f>
        <v>6458501134</v>
      </c>
      <c r="E161" s="13">
        <f>사업장!N160</f>
        <v>123307678</v>
      </c>
      <c r="F161" s="13">
        <f>사업장!O160</f>
        <v>12330475</v>
      </c>
      <c r="G161" s="13">
        <f>사업장!P160</f>
        <v>2470753</v>
      </c>
      <c r="H161" s="4" t="b">
        <f>사업장!Q160</f>
        <v>1</v>
      </c>
      <c r="I161" s="4" t="b">
        <f>사업장!R160</f>
        <v>1</v>
      </c>
      <c r="J161" t="b">
        <f t="shared" si="2"/>
        <v>0</v>
      </c>
    </row>
    <row r="162" spans="2:10" x14ac:dyDescent="0.4">
      <c r="B162" s="4" t="str">
        <f>사업장!B161</f>
        <v>W702</v>
      </c>
      <c r="C162" s="4" t="str">
        <f>사업장!C161</f>
        <v>주식회사이랜드이츠 애슐리천안터미널점</v>
      </c>
      <c r="D162" s="4">
        <f>사업장!D161</f>
        <v>4178516314</v>
      </c>
      <c r="E162" s="13">
        <f>사업장!N161</f>
        <v>113195676</v>
      </c>
      <c r="F162" s="13">
        <f>사업장!O161</f>
        <v>11319299</v>
      </c>
      <c r="G162" s="13">
        <f>사업장!P161</f>
        <v>12641339</v>
      </c>
      <c r="H162" s="4" t="b">
        <f>사업장!Q161</f>
        <v>1</v>
      </c>
      <c r="I162" s="4" t="b">
        <f>사업장!R161</f>
        <v>1</v>
      </c>
      <c r="J162" t="b">
        <f t="shared" si="2"/>
        <v>0</v>
      </c>
    </row>
    <row r="163" spans="2:10" x14ac:dyDescent="0.4">
      <c r="B163" s="4" t="str">
        <f>사업장!B162</f>
        <v>W704</v>
      </c>
      <c r="C163" s="4" t="str">
        <f>사업장!C162</f>
        <v>㈜이랜드이츠 자연별곡 오리점</v>
      </c>
      <c r="D163" s="4">
        <f>사업장!D162</f>
        <v>2188505199</v>
      </c>
      <c r="E163" s="13">
        <f>사업장!N162</f>
        <v>101025667</v>
      </c>
      <c r="F163" s="13">
        <f>사업장!O162</f>
        <v>10102565</v>
      </c>
      <c r="G163" s="13">
        <f>사업장!P162</f>
        <v>251177</v>
      </c>
      <c r="H163" s="4" t="b">
        <f>사업장!Q162</f>
        <v>1</v>
      </c>
      <c r="I163" s="4" t="b">
        <f>사업장!R162</f>
        <v>1</v>
      </c>
      <c r="J163" t="b">
        <f t="shared" si="2"/>
        <v>0</v>
      </c>
    </row>
    <row r="164" spans="2:10" x14ac:dyDescent="0.4">
      <c r="B164" s="4" t="str">
        <f>사업장!B163</f>
        <v>W705</v>
      </c>
      <c r="C164" s="4" t="str">
        <f>사업장!C163</f>
        <v>㈜이랜드이츠 애슐리W 홈플러스세종점</v>
      </c>
      <c r="D164" s="4">
        <f>사업장!D163</f>
        <v>1188505695</v>
      </c>
      <c r="E164" s="13">
        <f>사업장!N163</f>
        <v>87476737</v>
      </c>
      <c r="F164" s="13">
        <f>사업장!O163</f>
        <v>8747410</v>
      </c>
      <c r="G164" s="13">
        <f>사업장!P163</f>
        <v>3824082</v>
      </c>
      <c r="H164" s="4" t="b">
        <f>사업장!Q163</f>
        <v>1</v>
      </c>
      <c r="I164" s="4" t="b">
        <f>사업장!R163</f>
        <v>1</v>
      </c>
      <c r="J164" t="b">
        <f t="shared" si="2"/>
        <v>0</v>
      </c>
    </row>
    <row r="165" spans="2:10" x14ac:dyDescent="0.4">
      <c r="B165" s="4" t="str">
        <f>사업장!B164</f>
        <v>W706</v>
      </c>
      <c r="C165" s="4" t="str">
        <f>사업장!C164</f>
        <v>(주)이랜드이츠 자연별곡 강남역점</v>
      </c>
      <c r="D165" s="4">
        <f>사업장!D164</f>
        <v>2028505194</v>
      </c>
      <c r="E165" s="13">
        <f>사업장!N164</f>
        <v>63349938</v>
      </c>
      <c r="F165" s="13">
        <f>사업장!O164</f>
        <v>6334153</v>
      </c>
      <c r="G165" s="13">
        <f>사업장!P164</f>
        <v>0</v>
      </c>
      <c r="H165" s="4" t="b">
        <f>사업장!Q164</f>
        <v>1</v>
      </c>
      <c r="I165" s="4" t="b">
        <f>사업장!R164</f>
        <v>0</v>
      </c>
      <c r="J165" t="b">
        <f t="shared" si="2"/>
        <v>0</v>
      </c>
    </row>
    <row r="166" spans="2:10" x14ac:dyDescent="0.4">
      <c r="B166" s="4" t="str">
        <f>사업장!B165</f>
        <v>W707</v>
      </c>
      <c r="C166" s="4" t="str">
        <f>사업장!C165</f>
        <v>㈜이랜드이츠자연별곡 경성대점</v>
      </c>
      <c r="D166" s="4">
        <f>사업장!D165</f>
        <v>5218501105</v>
      </c>
      <c r="E166" s="13">
        <f>사업장!N165</f>
        <v>115060172</v>
      </c>
      <c r="F166" s="13">
        <f>사업장!O165</f>
        <v>11506012</v>
      </c>
      <c r="G166" s="13">
        <f>사업장!P165</f>
        <v>512729</v>
      </c>
      <c r="H166" s="4" t="b">
        <f>사업장!Q165</f>
        <v>1</v>
      </c>
      <c r="I166" s="4" t="b">
        <f>사업장!R165</f>
        <v>1</v>
      </c>
      <c r="J166" t="b">
        <f t="shared" si="2"/>
        <v>0</v>
      </c>
    </row>
    <row r="167" spans="2:10" x14ac:dyDescent="0.4">
      <c r="B167" s="4" t="str">
        <f>사업장!B166</f>
        <v>W708</v>
      </c>
      <c r="C167" s="4" t="str">
        <f>사업장!C166</f>
        <v>㈜이랜드이츠 피자몰경성대점</v>
      </c>
      <c r="D167" s="4">
        <f>사업장!D166</f>
        <v>5598501323</v>
      </c>
      <c r="E167" s="13">
        <f>사업장!N166</f>
        <v>64513221</v>
      </c>
      <c r="F167" s="13">
        <f>사업장!O166</f>
        <v>6451319</v>
      </c>
      <c r="G167" s="13">
        <f>사업장!P166</f>
        <v>0</v>
      </c>
      <c r="H167" s="4" t="b">
        <f>사업장!Q166</f>
        <v>1</v>
      </c>
      <c r="I167" s="4" t="b">
        <f>사업장!R166</f>
        <v>0</v>
      </c>
      <c r="J167" t="b">
        <f t="shared" si="2"/>
        <v>0</v>
      </c>
    </row>
    <row r="168" spans="2:10" x14ac:dyDescent="0.4">
      <c r="B168" s="4" t="str">
        <f>사업장!B167</f>
        <v>W709</v>
      </c>
      <c r="C168" s="4" t="str">
        <f>사업장!C167</f>
        <v>페어링6 압구정점</v>
      </c>
      <c r="D168" s="4">
        <f>사업장!D167</f>
        <v>1698501232</v>
      </c>
      <c r="E168" s="13">
        <f>사업장!N167</f>
        <v>202453880</v>
      </c>
      <c r="F168" s="13">
        <f>사업장!O167</f>
        <v>20245415</v>
      </c>
      <c r="G168" s="13">
        <f>사업장!P167</f>
        <v>7424952</v>
      </c>
      <c r="H168" s="4" t="b">
        <f>사업장!Q167</f>
        <v>1</v>
      </c>
      <c r="I168" s="4" t="b">
        <f>사업장!R167</f>
        <v>1</v>
      </c>
      <c r="J168" t="b">
        <f t="shared" si="2"/>
        <v>0</v>
      </c>
    </row>
    <row r="169" spans="2:10" x14ac:dyDescent="0.4">
      <c r="B169" s="4" t="str">
        <f>사업장!B168</f>
        <v>W710</v>
      </c>
      <c r="C169" s="4" t="str">
        <f>사업장!C168</f>
        <v>자연별곡 한양대점</v>
      </c>
      <c r="D169" s="4">
        <f>사업장!D168</f>
        <v>2168505626</v>
      </c>
      <c r="E169" s="13">
        <f>사업장!N168</f>
        <v>25266183</v>
      </c>
      <c r="F169" s="13">
        <f>사업장!O168</f>
        <v>2526616</v>
      </c>
      <c r="G169" s="13">
        <f>사업장!P168</f>
        <v>0</v>
      </c>
      <c r="H169" s="4" t="b">
        <f>사업장!Q168</f>
        <v>1</v>
      </c>
      <c r="I169" s="4" t="b">
        <f>사업장!R168</f>
        <v>0</v>
      </c>
      <c r="J169" t="b">
        <f t="shared" si="2"/>
        <v>0</v>
      </c>
    </row>
    <row r="170" spans="2:10" x14ac:dyDescent="0.4">
      <c r="B170" s="4" t="str">
        <f>사업장!B169</f>
        <v>W711</v>
      </c>
      <c r="C170" s="4" t="str">
        <f>사업장!C169</f>
        <v>㈜이랜드이츠 자연별곡 서울대입구점</v>
      </c>
      <c r="D170" s="4">
        <f>사업장!D169</f>
        <v>7428501060</v>
      </c>
      <c r="E170" s="13">
        <f>사업장!N169</f>
        <v>101545539</v>
      </c>
      <c r="F170" s="13">
        <f>사업장!O169</f>
        <v>10154702</v>
      </c>
      <c r="G170" s="13">
        <f>사업장!P169</f>
        <v>4847790</v>
      </c>
      <c r="H170" s="4" t="b">
        <f>사업장!Q169</f>
        <v>1</v>
      </c>
      <c r="I170" s="4" t="b">
        <f>사업장!R169</f>
        <v>1</v>
      </c>
      <c r="J170" t="b">
        <f t="shared" si="2"/>
        <v>0</v>
      </c>
    </row>
    <row r="171" spans="2:10" x14ac:dyDescent="0.4">
      <c r="B171" s="4" t="str">
        <f>사업장!B170</f>
        <v>W713</v>
      </c>
      <c r="C171" s="4" t="str">
        <f>사업장!C170</f>
        <v>㈜이랜드이츠 후원NC수원터미널점</v>
      </c>
      <c r="D171" s="4">
        <f>사업장!D170</f>
        <v>7288501176</v>
      </c>
      <c r="E171" s="13">
        <f>사업장!N170</f>
        <v>6925059</v>
      </c>
      <c r="F171" s="13">
        <f>사업장!O170</f>
        <v>692503</v>
      </c>
      <c r="G171" s="13">
        <f>사업장!P170</f>
        <v>70000</v>
      </c>
      <c r="H171" s="4" t="b">
        <f>사업장!Q170</f>
        <v>1</v>
      </c>
      <c r="I171" s="4" t="b">
        <f>사업장!R170</f>
        <v>1</v>
      </c>
      <c r="J171" t="b">
        <f t="shared" si="2"/>
        <v>0</v>
      </c>
    </row>
    <row r="172" spans="2:10" x14ac:dyDescent="0.4">
      <c r="B172" s="4" t="str">
        <f>사업장!B171</f>
        <v>W714</v>
      </c>
      <c r="C172" s="4" t="str">
        <f>사업장!C171</f>
        <v>㈜이랜드이츠 자연별곡 NC수원터미널점</v>
      </c>
      <c r="D172" s="4">
        <f>사업장!D171</f>
        <v>6518501411</v>
      </c>
      <c r="E172" s="13">
        <f>사업장!N171</f>
        <v>28863633</v>
      </c>
      <c r="F172" s="13">
        <f>사업장!O171</f>
        <v>2886366</v>
      </c>
      <c r="G172" s="13">
        <f>사업장!P171</f>
        <v>0</v>
      </c>
      <c r="H172" s="4" t="b">
        <f>사업장!Q171</f>
        <v>1</v>
      </c>
      <c r="I172" s="4" t="b">
        <f>사업장!R171</f>
        <v>0</v>
      </c>
      <c r="J172" t="b">
        <f t="shared" si="2"/>
        <v>0</v>
      </c>
    </row>
    <row r="173" spans="2:10" x14ac:dyDescent="0.4">
      <c r="B173" s="4" t="str">
        <f>사업장!B172</f>
        <v>W715</v>
      </c>
      <c r="C173" s="4" t="str">
        <f>사업장!C172</f>
        <v>㈜이랜드이츠 피자몰NC수원터미널</v>
      </c>
      <c r="D173" s="4">
        <f>사업장!D172</f>
        <v>1308569646</v>
      </c>
      <c r="E173" s="13">
        <f>사업장!N172</f>
        <v>29839159</v>
      </c>
      <c r="F173" s="13">
        <f>사업장!O172</f>
        <v>2983882</v>
      </c>
      <c r="G173" s="13">
        <f>사업장!P172</f>
        <v>0</v>
      </c>
      <c r="H173" s="4" t="b">
        <f>사업장!Q172</f>
        <v>1</v>
      </c>
      <c r="I173" s="4" t="b">
        <f>사업장!R172</f>
        <v>0</v>
      </c>
      <c r="J173" t="b">
        <f t="shared" si="2"/>
        <v>0</v>
      </c>
    </row>
    <row r="174" spans="2:10" x14ac:dyDescent="0.4">
      <c r="B174" s="4" t="str">
        <f>사업장!B173</f>
        <v>W717</v>
      </c>
      <c r="C174" s="4" t="str">
        <f>사업장!C173</f>
        <v>㈜이랜드이츠 애슐리W NC수원터미널점</v>
      </c>
      <c r="D174" s="4">
        <f>사업장!D173</f>
        <v>4318501011</v>
      </c>
      <c r="E174" s="13">
        <f>사업장!N173</f>
        <v>136555879</v>
      </c>
      <c r="F174" s="13">
        <f>사업장!O173</f>
        <v>13655457</v>
      </c>
      <c r="G174" s="13">
        <f>사업장!P173</f>
        <v>0</v>
      </c>
      <c r="H174" s="4" t="b">
        <f>사업장!Q173</f>
        <v>1</v>
      </c>
      <c r="I174" s="4" t="b">
        <f>사업장!R173</f>
        <v>0</v>
      </c>
      <c r="J174" t="b">
        <f t="shared" si="2"/>
        <v>0</v>
      </c>
    </row>
    <row r="175" spans="2:10" x14ac:dyDescent="0.4">
      <c r="B175" s="4" t="str">
        <f>사업장!B174</f>
        <v>W718</v>
      </c>
      <c r="C175" s="4" t="str">
        <f>사업장!C174</f>
        <v>㈜이랜드이츠 테루NC수원터미널점</v>
      </c>
      <c r="D175" s="4">
        <f>사업장!D174</f>
        <v>1688501132</v>
      </c>
      <c r="E175" s="13">
        <f>사업장!N174</f>
        <v>21730765</v>
      </c>
      <c r="F175" s="13">
        <f>사업장!O174</f>
        <v>2173080</v>
      </c>
      <c r="G175" s="13">
        <f>사업장!P174</f>
        <v>0</v>
      </c>
      <c r="H175" s="4" t="b">
        <f>사업장!Q174</f>
        <v>1</v>
      </c>
      <c r="I175" s="4" t="b">
        <f>사업장!R174</f>
        <v>0</v>
      </c>
      <c r="J175" t="b">
        <f t="shared" si="2"/>
        <v>0</v>
      </c>
    </row>
    <row r="176" spans="2:10" x14ac:dyDescent="0.4">
      <c r="B176" s="4" t="str">
        <f>사업장!B175</f>
        <v>W720</v>
      </c>
      <c r="C176" s="4" t="str">
        <f>사업장!C175</f>
        <v>㈜이랜드이츠애슐리W 포항점</v>
      </c>
      <c r="D176" s="4">
        <f>사업장!D175</f>
        <v>1758501144</v>
      </c>
      <c r="E176" s="13">
        <f>사업장!N175</f>
        <v>0</v>
      </c>
      <c r="F176" s="13">
        <f>사업장!O175</f>
        <v>0</v>
      </c>
      <c r="G176" s="13">
        <f>사업장!P175</f>
        <v>0</v>
      </c>
      <c r="H176" s="4" t="b">
        <f>사업장!Q175</f>
        <v>0</v>
      </c>
      <c r="I176" s="4" t="b">
        <f>사업장!R175</f>
        <v>0</v>
      </c>
      <c r="J176" t="b">
        <f t="shared" si="2"/>
        <v>1</v>
      </c>
    </row>
    <row r="177" spans="2:10" x14ac:dyDescent="0.4">
      <c r="B177" s="4" t="str">
        <f>사업장!B176</f>
        <v>W722</v>
      </c>
      <c r="C177" s="4" t="str">
        <f>사업장!C176</f>
        <v>㈜이랜드이츠 피자몰 신천점</v>
      </c>
      <c r="D177" s="4">
        <f>사업장!D176</f>
        <v>2498501066</v>
      </c>
      <c r="E177" s="13">
        <f>사업장!N176</f>
        <v>0</v>
      </c>
      <c r="F177" s="13">
        <f>사업장!O176</f>
        <v>0</v>
      </c>
      <c r="G177" s="13">
        <f>사업장!P176</f>
        <v>0</v>
      </c>
      <c r="H177" s="4" t="b">
        <f>사업장!Q176</f>
        <v>0</v>
      </c>
      <c r="I177" s="4" t="b">
        <f>사업장!R176</f>
        <v>0</v>
      </c>
      <c r="J177" t="b">
        <f t="shared" si="2"/>
        <v>1</v>
      </c>
    </row>
    <row r="178" spans="2:10" x14ac:dyDescent="0.4">
      <c r="B178" s="4" t="str">
        <f>사업장!B177</f>
        <v>W723</v>
      </c>
      <c r="C178" s="4" t="str">
        <f>사업장!C177</f>
        <v>자연별곡 구리점</v>
      </c>
      <c r="D178" s="4">
        <f>사업장!D177</f>
        <v>8938501276</v>
      </c>
      <c r="E178" s="13">
        <f>사업장!N177</f>
        <v>81263464</v>
      </c>
      <c r="F178" s="13">
        <f>사업장!O177</f>
        <v>8125656</v>
      </c>
      <c r="G178" s="13">
        <f>사업장!P177</f>
        <v>774850</v>
      </c>
      <c r="H178" s="4" t="b">
        <f>사업장!Q177</f>
        <v>1</v>
      </c>
      <c r="I178" s="4" t="b">
        <f>사업장!R177</f>
        <v>1</v>
      </c>
      <c r="J178" t="b">
        <f t="shared" si="2"/>
        <v>0</v>
      </c>
    </row>
    <row r="179" spans="2:10" x14ac:dyDescent="0.4">
      <c r="B179" s="4" t="str">
        <f>사업장!B178</f>
        <v>W724</v>
      </c>
      <c r="C179" s="4" t="str">
        <f>사업장!C178</f>
        <v>㈜이랜드이츠 애슐리W 일산대화점</v>
      </c>
      <c r="D179" s="4">
        <f>사업장!D178</f>
        <v>6628501046</v>
      </c>
      <c r="E179" s="13">
        <f>사업장!N178</f>
        <v>218639224</v>
      </c>
      <c r="F179" s="13">
        <f>사업장!O178</f>
        <v>21863921</v>
      </c>
      <c r="G179" s="13">
        <f>사업장!P178</f>
        <v>2688874</v>
      </c>
      <c r="H179" s="4" t="b">
        <f>사업장!Q178</f>
        <v>1</v>
      </c>
      <c r="I179" s="4" t="b">
        <f>사업장!R178</f>
        <v>1</v>
      </c>
      <c r="J179" t="b">
        <f t="shared" si="2"/>
        <v>0</v>
      </c>
    </row>
    <row r="180" spans="2:10" x14ac:dyDescent="0.4">
      <c r="B180" s="4" t="str">
        <f>사업장!B179</f>
        <v>W725</v>
      </c>
      <c r="C180" s="4" t="str">
        <f>사업장!C179</f>
        <v>㈜이랜드이츠 자연별곡 일산 대화점</v>
      </c>
      <c r="D180" s="4">
        <f>사업장!D179</f>
        <v>3688501125</v>
      </c>
      <c r="E180" s="13">
        <f>사업장!N179</f>
        <v>126380765</v>
      </c>
      <c r="F180" s="13">
        <f>사업장!O179</f>
        <v>12638074</v>
      </c>
      <c r="G180" s="13">
        <f>사업장!P179</f>
        <v>1306422</v>
      </c>
      <c r="H180" s="4" t="b">
        <f>사업장!Q179</f>
        <v>1</v>
      </c>
      <c r="I180" s="4" t="b">
        <f>사업장!R179</f>
        <v>1</v>
      </c>
      <c r="J180" t="b">
        <f t="shared" si="2"/>
        <v>0</v>
      </c>
    </row>
    <row r="181" spans="2:10" x14ac:dyDescent="0.4">
      <c r="B181" s="4" t="str">
        <f>사업장!B180</f>
        <v>W726</v>
      </c>
      <c r="C181" s="4" t="str">
        <f>사업장!C180</f>
        <v>㈜이랜드이츠 로운 일산대화점</v>
      </c>
      <c r="D181" s="4">
        <f>사업장!D180</f>
        <v>1028507382</v>
      </c>
      <c r="E181" s="13">
        <f>사업장!N180</f>
        <v>79413247</v>
      </c>
      <c r="F181" s="13">
        <f>사업장!O180</f>
        <v>7940765</v>
      </c>
      <c r="G181" s="13">
        <f>사업장!P180</f>
        <v>736929</v>
      </c>
      <c r="H181" s="4" t="b">
        <f>사업장!Q180</f>
        <v>1</v>
      </c>
      <c r="I181" s="4" t="b">
        <f>사업장!R180</f>
        <v>1</v>
      </c>
      <c r="J181" t="b">
        <f t="shared" si="2"/>
        <v>0</v>
      </c>
    </row>
    <row r="182" spans="2:10" x14ac:dyDescent="0.4">
      <c r="B182" s="4" t="str">
        <f>사업장!B181</f>
        <v>W727</v>
      </c>
      <c r="C182" s="4" t="str">
        <f>사업장!C181</f>
        <v>㈜이랜드이츠 애슐리퀸즈엔씨서면점</v>
      </c>
      <c r="D182" s="4">
        <f>사업장!D181</f>
        <v>8968501159</v>
      </c>
      <c r="E182" s="13">
        <f>사업장!N181</f>
        <v>0</v>
      </c>
      <c r="F182" s="13">
        <f>사업장!O181</f>
        <v>0</v>
      </c>
      <c r="G182" s="13">
        <f>사업장!P181</f>
        <v>1353000</v>
      </c>
      <c r="H182" s="4" t="b">
        <f>사업장!Q181</f>
        <v>0</v>
      </c>
      <c r="I182" s="4" t="b">
        <f>사업장!R181</f>
        <v>1</v>
      </c>
      <c r="J182" t="b">
        <f t="shared" si="2"/>
        <v>0</v>
      </c>
    </row>
    <row r="183" spans="2:10" x14ac:dyDescent="0.4">
      <c r="B183" s="4" t="str">
        <f>사업장!B182</f>
        <v>W728</v>
      </c>
      <c r="C183" s="4" t="str">
        <f>사업장!C182</f>
        <v>㈜이랜드이츠 다구오엔씨 서면점</v>
      </c>
      <c r="D183" s="4">
        <f>사업장!D182</f>
        <v>5038533593</v>
      </c>
      <c r="E183" s="13">
        <f>사업장!N182</f>
        <v>15827730</v>
      </c>
      <c r="F183" s="13">
        <f>사업장!O182</f>
        <v>1582743</v>
      </c>
      <c r="G183" s="13">
        <f>사업장!P182</f>
        <v>1353000</v>
      </c>
      <c r="H183" s="4" t="b">
        <f>사업장!Q182</f>
        <v>1</v>
      </c>
      <c r="I183" s="4" t="b">
        <f>사업장!R182</f>
        <v>1</v>
      </c>
      <c r="J183" t="b">
        <f t="shared" si="2"/>
        <v>0</v>
      </c>
    </row>
    <row r="184" spans="2:10" x14ac:dyDescent="0.4">
      <c r="B184" s="4" t="str">
        <f>사업장!B183</f>
        <v>W730</v>
      </c>
      <c r="C184" s="4" t="str">
        <f>사업장!C183</f>
        <v>㈜이랜드이츠 자연별곡엔씨서면점</v>
      </c>
      <c r="D184" s="4">
        <f>사업장!D183</f>
        <v>5258501131</v>
      </c>
      <c r="E184" s="13">
        <f>사업장!N183</f>
        <v>63464467</v>
      </c>
      <c r="F184" s="13">
        <f>사업장!O183</f>
        <v>6346430</v>
      </c>
      <c r="G184" s="13">
        <f>사업장!P183</f>
        <v>0</v>
      </c>
      <c r="H184" s="4" t="b">
        <f>사업장!Q183</f>
        <v>1</v>
      </c>
      <c r="I184" s="4" t="b">
        <f>사업장!R183</f>
        <v>0</v>
      </c>
      <c r="J184" t="b">
        <f t="shared" si="2"/>
        <v>0</v>
      </c>
    </row>
    <row r="185" spans="2:10" x14ac:dyDescent="0.4">
      <c r="B185" s="4" t="str">
        <f>사업장!B184</f>
        <v>W731</v>
      </c>
      <c r="C185" s="4" t="str">
        <f>사업장!C184</f>
        <v>㈜이랜드이츠 피자몰엔씨서면점</v>
      </c>
      <c r="D185" s="4">
        <f>사업장!D184</f>
        <v>8358501019</v>
      </c>
      <c r="E185" s="13">
        <f>사업장!N184</f>
        <v>63464467</v>
      </c>
      <c r="F185" s="13">
        <f>사업장!O184</f>
        <v>6346430</v>
      </c>
      <c r="G185" s="13">
        <f>사업장!P184</f>
        <v>0</v>
      </c>
      <c r="H185" s="4" t="b">
        <f>사업장!Q184</f>
        <v>1</v>
      </c>
      <c r="I185" s="4" t="b">
        <f>사업장!R184</f>
        <v>0</v>
      </c>
      <c r="J185" t="b">
        <f t="shared" si="2"/>
        <v>0</v>
      </c>
    </row>
  </sheetData>
  <autoFilter ref="B3:J185"/>
  <mergeCells count="1">
    <mergeCell ref="E2:G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9"/>
  <sheetViews>
    <sheetView workbookViewId="0">
      <selection activeCell="D20" sqref="D20"/>
    </sheetView>
  </sheetViews>
  <sheetFormatPr defaultRowHeight="17.399999999999999" x14ac:dyDescent="0.4"/>
  <cols>
    <col min="1" max="1" width="6.69921875" bestFit="1" customWidth="1"/>
    <col min="2" max="3" width="13.8984375" bestFit="1" customWidth="1"/>
    <col min="4" max="4" width="12.69921875" bestFit="1" customWidth="1"/>
    <col min="5" max="5" width="12.8984375" bestFit="1" customWidth="1"/>
    <col min="6" max="6" width="11.3984375" bestFit="1" customWidth="1"/>
  </cols>
  <sheetData>
    <row r="1" spans="1:10" x14ac:dyDescent="0.4">
      <c r="A1" t="s">
        <v>196</v>
      </c>
      <c r="B1" t="s">
        <v>197</v>
      </c>
      <c r="C1" t="s">
        <v>198</v>
      </c>
      <c r="D1" t="s">
        <v>202</v>
      </c>
      <c r="E1" t="s">
        <v>199</v>
      </c>
      <c r="F1" t="s">
        <v>203</v>
      </c>
      <c r="G1" t="s">
        <v>204</v>
      </c>
      <c r="H1" t="s">
        <v>205</v>
      </c>
      <c r="J1" t="s">
        <v>207</v>
      </c>
    </row>
    <row r="2" spans="1:10" x14ac:dyDescent="0.4">
      <c r="A2" t="s">
        <v>6</v>
      </c>
      <c r="B2" s="15">
        <v>2082723496</v>
      </c>
      <c r="C2" s="15">
        <v>208280347</v>
      </c>
      <c r="D2" s="15">
        <v>551</v>
      </c>
      <c r="E2" s="15" t="s">
        <v>6</v>
      </c>
      <c r="F2" s="15">
        <v>42100230</v>
      </c>
      <c r="H2">
        <v>16</v>
      </c>
    </row>
    <row r="3" spans="1:10" x14ac:dyDescent="0.4">
      <c r="A3" t="s">
        <v>691</v>
      </c>
      <c r="B3" s="15">
        <v>15471123264</v>
      </c>
      <c r="C3" s="15">
        <v>1547112127</v>
      </c>
      <c r="D3">
        <v>1977</v>
      </c>
      <c r="E3" s="15" t="s">
        <v>689</v>
      </c>
      <c r="F3" s="15">
        <v>3872077882</v>
      </c>
      <c r="H3">
        <v>366</v>
      </c>
    </row>
    <row r="4" spans="1:10" x14ac:dyDescent="0.4">
      <c r="A4" t="s">
        <v>692</v>
      </c>
      <c r="B4" s="15">
        <v>85553347</v>
      </c>
      <c r="C4" s="15">
        <v>8555332</v>
      </c>
      <c r="D4">
        <v>50</v>
      </c>
      <c r="E4" s="15" t="s">
        <v>690</v>
      </c>
      <c r="F4" s="15"/>
      <c r="H4">
        <v>366</v>
      </c>
    </row>
    <row r="5" spans="1:10" x14ac:dyDescent="0.4">
      <c r="A5" t="s">
        <v>693</v>
      </c>
      <c r="B5" s="15">
        <v>208104279</v>
      </c>
      <c r="C5" s="15">
        <v>20810426</v>
      </c>
      <c r="D5">
        <v>84</v>
      </c>
      <c r="E5" t="s">
        <v>929</v>
      </c>
      <c r="F5" s="15">
        <v>529934385</v>
      </c>
      <c r="H5">
        <v>13</v>
      </c>
    </row>
    <row r="6" spans="1:10" x14ac:dyDescent="0.4">
      <c r="A6" t="s">
        <v>694</v>
      </c>
      <c r="B6" s="15">
        <v>234467689</v>
      </c>
      <c r="C6" s="15">
        <v>23445569</v>
      </c>
      <c r="D6">
        <v>79</v>
      </c>
      <c r="E6" t="s">
        <v>930</v>
      </c>
      <c r="F6" s="15">
        <v>720000</v>
      </c>
      <c r="H6">
        <v>3</v>
      </c>
    </row>
    <row r="7" spans="1:10" x14ac:dyDescent="0.4">
      <c r="A7" t="s">
        <v>695</v>
      </c>
      <c r="B7" s="15">
        <v>351099022</v>
      </c>
      <c r="C7" s="15">
        <v>35109645</v>
      </c>
      <c r="D7">
        <v>119</v>
      </c>
      <c r="E7" t="s">
        <v>931</v>
      </c>
      <c r="F7" s="15">
        <v>300000</v>
      </c>
      <c r="H7">
        <v>4</v>
      </c>
    </row>
    <row r="8" spans="1:10" x14ac:dyDescent="0.4">
      <c r="A8" t="s">
        <v>696</v>
      </c>
      <c r="B8" s="15">
        <v>111506858</v>
      </c>
      <c r="C8" s="15">
        <v>11150365</v>
      </c>
      <c r="D8">
        <v>74</v>
      </c>
      <c r="E8" t="s">
        <v>932</v>
      </c>
      <c r="F8" s="15">
        <v>300000</v>
      </c>
      <c r="H8">
        <v>4</v>
      </c>
    </row>
    <row r="9" spans="1:10" x14ac:dyDescent="0.4">
      <c r="A9" t="s">
        <v>697</v>
      </c>
      <c r="B9" s="15">
        <v>155447101</v>
      </c>
      <c r="C9" s="15">
        <v>15544679</v>
      </c>
      <c r="D9">
        <v>130</v>
      </c>
      <c r="E9" t="s">
        <v>933</v>
      </c>
      <c r="F9" s="15">
        <v>252000</v>
      </c>
      <c r="H9">
        <v>4</v>
      </c>
    </row>
    <row r="10" spans="1:10" x14ac:dyDescent="0.4">
      <c r="A10" t="s">
        <v>698</v>
      </c>
      <c r="B10" s="15">
        <v>80618219</v>
      </c>
      <c r="C10" s="15">
        <v>8061818</v>
      </c>
      <c r="D10" s="15">
        <v>69</v>
      </c>
      <c r="E10" s="15" t="s">
        <v>934</v>
      </c>
      <c r="F10" s="15">
        <v>720000</v>
      </c>
      <c r="H10">
        <v>6</v>
      </c>
    </row>
    <row r="11" spans="1:10" x14ac:dyDescent="0.4">
      <c r="A11" t="s">
        <v>699</v>
      </c>
      <c r="B11" s="15">
        <v>147671345</v>
      </c>
      <c r="C11" s="15">
        <v>14767128</v>
      </c>
      <c r="D11" s="15">
        <v>94</v>
      </c>
      <c r="E11" s="15" t="s">
        <v>935</v>
      </c>
      <c r="F11" s="15"/>
      <c r="H11">
        <v>0</v>
      </c>
    </row>
    <row r="12" spans="1:10" x14ac:dyDescent="0.4">
      <c r="A12" t="s">
        <v>700</v>
      </c>
      <c r="B12" s="15">
        <v>11881242</v>
      </c>
      <c r="C12" s="15">
        <v>1188020</v>
      </c>
      <c r="D12">
        <v>36</v>
      </c>
      <c r="E12" t="s">
        <v>936</v>
      </c>
      <c r="H12">
        <v>0</v>
      </c>
    </row>
    <row r="13" spans="1:10" x14ac:dyDescent="0.4">
      <c r="A13" t="s">
        <v>701</v>
      </c>
      <c r="B13" s="15">
        <v>101960215</v>
      </c>
      <c r="C13" s="15">
        <v>10196016</v>
      </c>
      <c r="D13">
        <v>89</v>
      </c>
      <c r="E13" t="s">
        <v>937</v>
      </c>
      <c r="F13" s="15">
        <v>210000</v>
      </c>
      <c r="H13">
        <v>3</v>
      </c>
    </row>
    <row r="14" spans="1:10" x14ac:dyDescent="0.4">
      <c r="A14" t="s">
        <v>702</v>
      </c>
      <c r="B14" s="15">
        <v>78558350</v>
      </c>
      <c r="C14" s="15">
        <v>7855827</v>
      </c>
      <c r="D14" s="15">
        <v>68</v>
      </c>
      <c r="E14" s="15" t="s">
        <v>938</v>
      </c>
      <c r="F14" s="15"/>
      <c r="H14">
        <v>0</v>
      </c>
    </row>
    <row r="15" spans="1:10" x14ac:dyDescent="0.4">
      <c r="A15" t="s">
        <v>703</v>
      </c>
      <c r="B15" s="15">
        <v>29398466</v>
      </c>
      <c r="C15" s="15">
        <v>2939853</v>
      </c>
      <c r="D15" s="15">
        <v>54</v>
      </c>
      <c r="E15" t="s">
        <v>939</v>
      </c>
      <c r="H15">
        <v>0</v>
      </c>
    </row>
    <row r="16" spans="1:10" x14ac:dyDescent="0.4">
      <c r="A16" t="s">
        <v>704</v>
      </c>
      <c r="B16" s="15">
        <v>24010305</v>
      </c>
      <c r="C16" s="15">
        <v>2400945</v>
      </c>
      <c r="D16" s="15">
        <v>38</v>
      </c>
      <c r="E16" t="s">
        <v>940</v>
      </c>
      <c r="F16" s="15"/>
      <c r="H16">
        <v>0</v>
      </c>
    </row>
    <row r="17" spans="1:8" x14ac:dyDescent="0.4">
      <c r="A17" t="s">
        <v>705</v>
      </c>
      <c r="B17" s="15">
        <v>7208406</v>
      </c>
      <c r="C17" s="15">
        <v>720837</v>
      </c>
      <c r="D17">
        <v>18</v>
      </c>
      <c r="E17" s="15" t="s">
        <v>941</v>
      </c>
      <c r="F17" s="15"/>
      <c r="H17">
        <v>0</v>
      </c>
    </row>
    <row r="18" spans="1:8" x14ac:dyDescent="0.4">
      <c r="A18" t="s">
        <v>706</v>
      </c>
      <c r="B18" s="15">
        <v>10290286</v>
      </c>
      <c r="C18" s="15">
        <v>1029025</v>
      </c>
      <c r="D18">
        <v>32</v>
      </c>
      <c r="E18" t="s">
        <v>942</v>
      </c>
      <c r="H18">
        <v>0</v>
      </c>
    </row>
    <row r="19" spans="1:8" x14ac:dyDescent="0.4">
      <c r="A19" t="s">
        <v>707</v>
      </c>
      <c r="B19" s="15">
        <v>25751716</v>
      </c>
      <c r="C19" s="15">
        <v>2575104</v>
      </c>
      <c r="D19">
        <v>44</v>
      </c>
      <c r="E19" t="s">
        <v>943</v>
      </c>
      <c r="H19">
        <v>0</v>
      </c>
    </row>
    <row r="20" spans="1:8" x14ac:dyDescent="0.4">
      <c r="A20" t="s">
        <v>708</v>
      </c>
      <c r="B20" s="15">
        <v>202168950</v>
      </c>
      <c r="C20" s="15">
        <v>20216787</v>
      </c>
      <c r="D20" s="15">
        <v>97</v>
      </c>
      <c r="E20" s="15" t="s">
        <v>944</v>
      </c>
      <c r="F20" s="15"/>
      <c r="H20">
        <v>0</v>
      </c>
    </row>
    <row r="21" spans="1:8" x14ac:dyDescent="0.4">
      <c r="A21" t="s">
        <v>709</v>
      </c>
      <c r="B21" s="15">
        <v>13166594</v>
      </c>
      <c r="C21" s="15">
        <v>1316657</v>
      </c>
      <c r="D21">
        <v>24</v>
      </c>
      <c r="E21" t="s">
        <v>945</v>
      </c>
      <c r="H21">
        <v>0</v>
      </c>
    </row>
    <row r="22" spans="1:8" x14ac:dyDescent="0.4">
      <c r="A22" t="s">
        <v>710</v>
      </c>
      <c r="B22" s="15">
        <v>36364383</v>
      </c>
      <c r="C22" s="15">
        <v>3636414</v>
      </c>
      <c r="D22">
        <v>32</v>
      </c>
      <c r="E22" t="s">
        <v>946</v>
      </c>
      <c r="H22">
        <v>0</v>
      </c>
    </row>
    <row r="23" spans="1:8" x14ac:dyDescent="0.4">
      <c r="A23" t="s">
        <v>711</v>
      </c>
      <c r="B23" s="15">
        <v>26551294</v>
      </c>
      <c r="C23" s="15">
        <v>2655052</v>
      </c>
      <c r="D23">
        <v>39</v>
      </c>
      <c r="E23" t="s">
        <v>947</v>
      </c>
      <c r="H23">
        <v>0</v>
      </c>
    </row>
    <row r="24" spans="1:8" x14ac:dyDescent="0.4">
      <c r="A24" t="s">
        <v>712</v>
      </c>
      <c r="B24" s="15">
        <v>4672607</v>
      </c>
      <c r="C24" s="15">
        <v>467257</v>
      </c>
      <c r="D24">
        <v>21</v>
      </c>
      <c r="E24" t="s">
        <v>948</v>
      </c>
      <c r="H24">
        <v>0</v>
      </c>
    </row>
    <row r="25" spans="1:8" x14ac:dyDescent="0.4">
      <c r="A25" t="s">
        <v>713</v>
      </c>
      <c r="B25" s="15">
        <v>15636143</v>
      </c>
      <c r="C25" s="15">
        <v>1563605</v>
      </c>
      <c r="D25">
        <v>20</v>
      </c>
      <c r="E25" t="s">
        <v>949</v>
      </c>
      <c r="H25">
        <v>0</v>
      </c>
    </row>
    <row r="26" spans="1:8" x14ac:dyDescent="0.4">
      <c r="A26" t="s">
        <v>714</v>
      </c>
      <c r="B26" s="15">
        <v>92958005</v>
      </c>
      <c r="C26" s="15">
        <v>9295797</v>
      </c>
      <c r="D26" s="15">
        <v>70</v>
      </c>
      <c r="E26" s="15" t="s">
        <v>950</v>
      </c>
      <c r="F26" s="15"/>
      <c r="H26">
        <v>0</v>
      </c>
    </row>
    <row r="27" spans="1:8" x14ac:dyDescent="0.4">
      <c r="A27" t="s">
        <v>715</v>
      </c>
      <c r="B27" s="15">
        <v>41954334</v>
      </c>
      <c r="C27" s="15">
        <v>4195437</v>
      </c>
      <c r="D27" s="15">
        <v>68</v>
      </c>
      <c r="E27" s="15" t="s">
        <v>951</v>
      </c>
      <c r="F27" s="15">
        <v>999000</v>
      </c>
      <c r="H27">
        <v>6</v>
      </c>
    </row>
    <row r="28" spans="1:8" x14ac:dyDescent="0.4">
      <c r="A28" t="s">
        <v>716</v>
      </c>
      <c r="B28" s="15">
        <v>12769855</v>
      </c>
      <c r="C28" s="15">
        <v>1276965</v>
      </c>
      <c r="D28" s="15">
        <v>35</v>
      </c>
      <c r="E28" s="15" t="s">
        <v>952</v>
      </c>
      <c r="F28" s="15">
        <v>72000</v>
      </c>
      <c r="H28">
        <v>3</v>
      </c>
    </row>
    <row r="29" spans="1:8" x14ac:dyDescent="0.4">
      <c r="A29" t="s">
        <v>717</v>
      </c>
      <c r="B29" s="15">
        <v>20546355</v>
      </c>
      <c r="C29" s="15">
        <v>2054602</v>
      </c>
      <c r="D29">
        <v>39</v>
      </c>
      <c r="E29" t="s">
        <v>953</v>
      </c>
      <c r="H29">
        <v>0</v>
      </c>
    </row>
    <row r="30" spans="1:8" x14ac:dyDescent="0.4">
      <c r="A30" t="s">
        <v>718</v>
      </c>
      <c r="B30" s="15">
        <v>59168889</v>
      </c>
      <c r="C30" s="15">
        <v>5916889</v>
      </c>
      <c r="D30">
        <v>18</v>
      </c>
      <c r="E30" t="s">
        <v>954</v>
      </c>
      <c r="H30">
        <v>0</v>
      </c>
    </row>
    <row r="31" spans="1:8" x14ac:dyDescent="0.4">
      <c r="A31" t="s">
        <v>719</v>
      </c>
      <c r="B31" s="15">
        <v>62069802</v>
      </c>
      <c r="C31" s="15">
        <v>6206979</v>
      </c>
      <c r="D31" s="15">
        <v>17</v>
      </c>
      <c r="E31" s="15" t="s">
        <v>955</v>
      </c>
      <c r="F31" s="15"/>
      <c r="H31">
        <v>0</v>
      </c>
    </row>
    <row r="32" spans="1:8" x14ac:dyDescent="0.4">
      <c r="A32" t="s">
        <v>720</v>
      </c>
      <c r="B32" s="15">
        <v>27941286</v>
      </c>
      <c r="C32" s="15">
        <v>2794095</v>
      </c>
      <c r="D32" s="15">
        <v>39</v>
      </c>
      <c r="E32" s="15" t="s">
        <v>956</v>
      </c>
      <c r="F32" s="15">
        <v>267600</v>
      </c>
      <c r="H32">
        <v>1</v>
      </c>
    </row>
    <row r="33" spans="1:8" x14ac:dyDescent="0.4">
      <c r="A33" t="s">
        <v>721</v>
      </c>
      <c r="B33" s="15">
        <v>15788011</v>
      </c>
      <c r="C33" s="15">
        <v>1578599</v>
      </c>
      <c r="D33" s="15">
        <v>10</v>
      </c>
      <c r="E33" s="15" t="s">
        <v>957</v>
      </c>
      <c r="F33" s="15"/>
      <c r="H33">
        <v>0</v>
      </c>
    </row>
    <row r="34" spans="1:8" x14ac:dyDescent="0.4">
      <c r="A34" t="s">
        <v>722</v>
      </c>
      <c r="B34" s="15">
        <v>7661398</v>
      </c>
      <c r="C34" s="15">
        <v>766141</v>
      </c>
      <c r="D34">
        <v>23</v>
      </c>
      <c r="E34" t="s">
        <v>958</v>
      </c>
      <c r="F34" s="15">
        <v>40000</v>
      </c>
      <c r="H34">
        <v>1</v>
      </c>
    </row>
    <row r="35" spans="1:8" x14ac:dyDescent="0.4">
      <c r="A35" t="s">
        <v>723</v>
      </c>
      <c r="B35" s="15">
        <v>8077481</v>
      </c>
      <c r="C35" s="15">
        <v>807748</v>
      </c>
      <c r="D35">
        <v>29</v>
      </c>
      <c r="E35" s="15" t="s">
        <v>959</v>
      </c>
      <c r="F35" s="15">
        <v>68000</v>
      </c>
      <c r="H35">
        <v>1</v>
      </c>
    </row>
    <row r="36" spans="1:8" x14ac:dyDescent="0.4">
      <c r="A36" t="s">
        <v>724</v>
      </c>
      <c r="B36" s="15">
        <v>27925050</v>
      </c>
      <c r="C36" s="15">
        <v>2792494</v>
      </c>
      <c r="D36" s="15">
        <v>22</v>
      </c>
      <c r="E36" t="s">
        <v>960</v>
      </c>
      <c r="H36">
        <v>0</v>
      </c>
    </row>
    <row r="37" spans="1:8" x14ac:dyDescent="0.4">
      <c r="A37" t="s">
        <v>725</v>
      </c>
      <c r="B37" s="15">
        <v>17698122</v>
      </c>
      <c r="C37" s="15">
        <v>1769811</v>
      </c>
      <c r="D37">
        <v>29</v>
      </c>
      <c r="E37" t="s">
        <v>961</v>
      </c>
      <c r="H37">
        <v>0</v>
      </c>
    </row>
    <row r="38" spans="1:8" x14ac:dyDescent="0.4">
      <c r="A38" t="s">
        <v>726</v>
      </c>
      <c r="B38" s="15">
        <v>9090562</v>
      </c>
      <c r="C38" s="15">
        <v>909055</v>
      </c>
      <c r="D38" s="15">
        <v>25</v>
      </c>
      <c r="E38" s="15" t="s">
        <v>962</v>
      </c>
      <c r="F38" s="15"/>
      <c r="H38">
        <v>0</v>
      </c>
    </row>
    <row r="39" spans="1:8" x14ac:dyDescent="0.4">
      <c r="A39" t="s">
        <v>727</v>
      </c>
      <c r="B39" s="15">
        <v>35328729</v>
      </c>
      <c r="C39" s="15">
        <v>3532859</v>
      </c>
      <c r="D39" s="15">
        <v>51</v>
      </c>
      <c r="E39" s="15" t="s">
        <v>963</v>
      </c>
      <c r="F39" s="15"/>
      <c r="H39">
        <v>0</v>
      </c>
    </row>
    <row r="40" spans="1:8" x14ac:dyDescent="0.4">
      <c r="A40" t="s">
        <v>728</v>
      </c>
      <c r="B40" s="15">
        <v>52422180</v>
      </c>
      <c r="C40" s="15">
        <v>5241945</v>
      </c>
      <c r="D40">
        <v>74</v>
      </c>
      <c r="E40" t="s">
        <v>964</v>
      </c>
      <c r="F40" s="15">
        <v>200000</v>
      </c>
      <c r="H40">
        <v>3</v>
      </c>
    </row>
    <row r="41" spans="1:8" x14ac:dyDescent="0.4">
      <c r="A41" t="s">
        <v>729</v>
      </c>
      <c r="B41" s="15">
        <v>36067975</v>
      </c>
      <c r="C41" s="15">
        <v>3606786</v>
      </c>
      <c r="D41" s="15">
        <v>55</v>
      </c>
      <c r="E41" s="15" t="s">
        <v>965</v>
      </c>
      <c r="F41" s="15">
        <v>744000</v>
      </c>
      <c r="H41">
        <v>6</v>
      </c>
    </row>
    <row r="42" spans="1:8" x14ac:dyDescent="0.4">
      <c r="A42" t="s">
        <v>730</v>
      </c>
      <c r="B42" s="15">
        <v>58141194</v>
      </c>
      <c r="C42" s="15">
        <v>5814116</v>
      </c>
      <c r="D42">
        <v>22</v>
      </c>
      <c r="E42" t="s">
        <v>966</v>
      </c>
      <c r="F42" s="15">
        <v>80000</v>
      </c>
      <c r="H42">
        <v>1</v>
      </c>
    </row>
    <row r="43" spans="1:8" x14ac:dyDescent="0.4">
      <c r="A43" t="s">
        <v>731</v>
      </c>
      <c r="B43" s="15">
        <v>423447</v>
      </c>
      <c r="C43" s="15">
        <v>42344</v>
      </c>
      <c r="D43">
        <v>9</v>
      </c>
      <c r="E43" t="s">
        <v>967</v>
      </c>
      <c r="F43" s="15">
        <v>50000</v>
      </c>
      <c r="H43">
        <v>1</v>
      </c>
    </row>
    <row r="44" spans="1:8" x14ac:dyDescent="0.4">
      <c r="A44" t="s">
        <v>732</v>
      </c>
      <c r="B44" s="15">
        <v>25509763</v>
      </c>
      <c r="C44" s="15">
        <v>2550972</v>
      </c>
      <c r="D44" s="15">
        <v>26</v>
      </c>
      <c r="E44" s="15" t="s">
        <v>968</v>
      </c>
      <c r="F44" s="15"/>
      <c r="H44">
        <v>0</v>
      </c>
    </row>
    <row r="45" spans="1:8" x14ac:dyDescent="0.4">
      <c r="A45" t="s">
        <v>733</v>
      </c>
      <c r="B45" s="15">
        <v>75497516</v>
      </c>
      <c r="C45" s="15">
        <v>7549758</v>
      </c>
      <c r="D45">
        <v>61</v>
      </c>
      <c r="E45" t="s">
        <v>969</v>
      </c>
      <c r="H45">
        <v>0</v>
      </c>
    </row>
    <row r="46" spans="1:8" x14ac:dyDescent="0.4">
      <c r="A46" t="s">
        <v>734</v>
      </c>
      <c r="B46" s="15">
        <v>11479737</v>
      </c>
      <c r="C46" s="15">
        <v>1147764</v>
      </c>
      <c r="D46" s="15">
        <v>16</v>
      </c>
      <c r="E46" t="s">
        <v>970</v>
      </c>
      <c r="H46">
        <v>0</v>
      </c>
    </row>
    <row r="47" spans="1:8" x14ac:dyDescent="0.4">
      <c r="A47" t="s">
        <v>735</v>
      </c>
      <c r="B47" s="15">
        <v>11257623</v>
      </c>
      <c r="C47" s="15">
        <v>1125765</v>
      </c>
      <c r="D47" s="15">
        <v>23</v>
      </c>
      <c r="E47" s="15" t="s">
        <v>971</v>
      </c>
      <c r="F47" s="15">
        <v>80000</v>
      </c>
      <c r="H47">
        <v>2</v>
      </c>
    </row>
    <row r="48" spans="1:8" x14ac:dyDescent="0.4">
      <c r="A48" t="s">
        <v>736</v>
      </c>
      <c r="B48" s="15">
        <v>13475278</v>
      </c>
      <c r="C48" s="15">
        <v>1347527</v>
      </c>
      <c r="D48">
        <v>23</v>
      </c>
      <c r="E48" t="s">
        <v>972</v>
      </c>
      <c r="H48">
        <v>0</v>
      </c>
    </row>
    <row r="49" spans="1:8" x14ac:dyDescent="0.4">
      <c r="A49" t="s">
        <v>737</v>
      </c>
      <c r="B49" s="15">
        <v>44057461</v>
      </c>
      <c r="C49" s="15">
        <v>4405659</v>
      </c>
      <c r="D49" s="15">
        <v>45</v>
      </c>
      <c r="E49" s="15" t="s">
        <v>973</v>
      </c>
      <c r="F49" s="15"/>
      <c r="H49">
        <v>0</v>
      </c>
    </row>
    <row r="50" spans="1:8" x14ac:dyDescent="0.4">
      <c r="A50" t="s">
        <v>738</v>
      </c>
      <c r="B50" s="15">
        <v>138933931</v>
      </c>
      <c r="C50" s="15">
        <v>13893383</v>
      </c>
      <c r="D50" s="15">
        <v>89</v>
      </c>
      <c r="E50" t="s">
        <v>974</v>
      </c>
      <c r="F50" s="15">
        <v>3033350</v>
      </c>
      <c r="H50">
        <v>3</v>
      </c>
    </row>
    <row r="51" spans="1:8" x14ac:dyDescent="0.4">
      <c r="A51" t="s">
        <v>739</v>
      </c>
      <c r="B51" s="15">
        <v>8159068</v>
      </c>
      <c r="C51" s="15">
        <v>815904</v>
      </c>
      <c r="D51">
        <v>28</v>
      </c>
      <c r="E51" t="s">
        <v>975</v>
      </c>
      <c r="F51" s="15">
        <v>120000</v>
      </c>
      <c r="H51">
        <v>1</v>
      </c>
    </row>
    <row r="52" spans="1:8" x14ac:dyDescent="0.4">
      <c r="A52" t="s">
        <v>740</v>
      </c>
      <c r="B52" s="15">
        <v>31685157</v>
      </c>
      <c r="C52" s="15">
        <v>3168508</v>
      </c>
      <c r="D52" s="15">
        <v>35</v>
      </c>
      <c r="E52" s="15" t="s">
        <v>976</v>
      </c>
      <c r="F52" s="15">
        <v>245000</v>
      </c>
      <c r="H52">
        <v>2</v>
      </c>
    </row>
    <row r="53" spans="1:8" x14ac:dyDescent="0.4">
      <c r="A53" t="s">
        <v>741</v>
      </c>
      <c r="B53" s="15">
        <v>36283650</v>
      </c>
      <c r="C53" s="15">
        <v>3628345</v>
      </c>
      <c r="D53">
        <v>48</v>
      </c>
      <c r="E53" t="s">
        <v>977</v>
      </c>
      <c r="H53">
        <v>0</v>
      </c>
    </row>
    <row r="54" spans="1:8" x14ac:dyDescent="0.4">
      <c r="A54" t="s">
        <v>742</v>
      </c>
      <c r="B54" s="15">
        <v>17411869</v>
      </c>
      <c r="C54" s="15">
        <v>1741154</v>
      </c>
      <c r="D54" s="15">
        <v>36</v>
      </c>
      <c r="E54" s="15" t="s">
        <v>978</v>
      </c>
      <c r="F54" s="15"/>
      <c r="H54">
        <v>0</v>
      </c>
    </row>
    <row r="55" spans="1:8" x14ac:dyDescent="0.4">
      <c r="A55" t="s">
        <v>743</v>
      </c>
      <c r="B55" s="15">
        <v>31911886</v>
      </c>
      <c r="C55" s="15">
        <v>3191137</v>
      </c>
      <c r="D55" s="15">
        <v>31</v>
      </c>
      <c r="E55" s="15" t="s">
        <v>979</v>
      </c>
      <c r="F55" s="15">
        <v>160000</v>
      </c>
      <c r="H55">
        <v>2</v>
      </c>
    </row>
    <row r="56" spans="1:8" x14ac:dyDescent="0.25">
      <c r="A56" s="12" t="s">
        <v>744</v>
      </c>
      <c r="B56" s="15">
        <v>77377966</v>
      </c>
      <c r="C56" s="15">
        <v>7737796</v>
      </c>
      <c r="D56">
        <v>22</v>
      </c>
      <c r="E56" t="s">
        <v>980</v>
      </c>
      <c r="F56" s="15">
        <v>46155</v>
      </c>
      <c r="H56">
        <v>1</v>
      </c>
    </row>
    <row r="57" spans="1:8" x14ac:dyDescent="0.4">
      <c r="A57" t="s">
        <v>745</v>
      </c>
      <c r="B57" s="15">
        <v>2210189</v>
      </c>
      <c r="C57" s="15">
        <v>221018</v>
      </c>
      <c r="D57">
        <v>14</v>
      </c>
      <c r="E57" t="s">
        <v>981</v>
      </c>
      <c r="H57">
        <v>0</v>
      </c>
    </row>
    <row r="58" spans="1:8" x14ac:dyDescent="0.4">
      <c r="A58" t="s">
        <v>746</v>
      </c>
      <c r="B58" s="15">
        <v>24925240</v>
      </c>
      <c r="C58" s="15">
        <v>2492389</v>
      </c>
      <c r="D58" s="15">
        <v>57</v>
      </c>
      <c r="E58" t="s">
        <v>982</v>
      </c>
      <c r="F58" s="15">
        <v>1319697</v>
      </c>
      <c r="H58">
        <v>4</v>
      </c>
    </row>
    <row r="59" spans="1:8" x14ac:dyDescent="0.4">
      <c r="A59" t="s">
        <v>747</v>
      </c>
      <c r="B59" s="15">
        <v>152112490</v>
      </c>
      <c r="C59" s="15">
        <v>15211246</v>
      </c>
      <c r="D59">
        <v>99</v>
      </c>
      <c r="E59" s="15" t="s">
        <v>983</v>
      </c>
      <c r="F59" s="15">
        <v>3012895</v>
      </c>
      <c r="H59">
        <v>3</v>
      </c>
    </row>
    <row r="60" spans="1:8" x14ac:dyDescent="0.4">
      <c r="A60" t="s">
        <v>748</v>
      </c>
      <c r="B60" s="15">
        <v>116560754</v>
      </c>
      <c r="C60" s="15">
        <v>11655772</v>
      </c>
      <c r="D60">
        <v>98</v>
      </c>
      <c r="E60" s="15" t="s">
        <v>984</v>
      </c>
      <c r="F60" s="15"/>
      <c r="H60">
        <v>3</v>
      </c>
    </row>
    <row r="61" spans="1:8" x14ac:dyDescent="0.4">
      <c r="A61" t="s">
        <v>749</v>
      </c>
      <c r="B61" s="15">
        <v>21042817</v>
      </c>
      <c r="C61" s="15">
        <v>2104279</v>
      </c>
      <c r="D61" s="15">
        <v>38</v>
      </c>
      <c r="E61" t="s">
        <v>985</v>
      </c>
      <c r="F61" s="15">
        <v>3112079</v>
      </c>
      <c r="H61">
        <v>6</v>
      </c>
    </row>
    <row r="62" spans="1:8" x14ac:dyDescent="0.4">
      <c r="A62" t="s">
        <v>750</v>
      </c>
      <c r="B62" s="15">
        <v>87893230</v>
      </c>
      <c r="C62" s="15">
        <v>8789321</v>
      </c>
      <c r="D62">
        <v>40</v>
      </c>
      <c r="E62" t="s">
        <v>986</v>
      </c>
      <c r="F62" s="15">
        <v>2393301</v>
      </c>
      <c r="H62">
        <v>5</v>
      </c>
    </row>
    <row r="63" spans="1:8" x14ac:dyDescent="0.4">
      <c r="A63" t="s">
        <v>751</v>
      </c>
      <c r="B63" s="15">
        <v>31194744</v>
      </c>
      <c r="C63" s="15">
        <v>3119473</v>
      </c>
      <c r="D63" s="15">
        <v>42</v>
      </c>
      <c r="E63" s="15" t="s">
        <v>987</v>
      </c>
      <c r="F63" s="15">
        <v>1183696</v>
      </c>
      <c r="H63">
        <v>3</v>
      </c>
    </row>
    <row r="64" spans="1:8" x14ac:dyDescent="0.4">
      <c r="A64" t="s">
        <v>752</v>
      </c>
      <c r="B64" s="15">
        <v>33860198</v>
      </c>
      <c r="C64" s="15">
        <v>3386020</v>
      </c>
      <c r="D64">
        <v>8</v>
      </c>
      <c r="E64" t="s">
        <v>988</v>
      </c>
      <c r="F64" s="15">
        <v>2607882</v>
      </c>
      <c r="H64">
        <v>3</v>
      </c>
    </row>
    <row r="65" spans="1:8" x14ac:dyDescent="0.4">
      <c r="A65" t="s">
        <v>753</v>
      </c>
      <c r="B65" s="15">
        <v>127383635</v>
      </c>
      <c r="C65" s="15">
        <v>12738356</v>
      </c>
      <c r="D65">
        <v>82</v>
      </c>
      <c r="E65" s="15" t="s">
        <v>989</v>
      </c>
      <c r="F65" s="15">
        <v>456000</v>
      </c>
      <c r="H65">
        <v>3</v>
      </c>
    </row>
    <row r="66" spans="1:8" x14ac:dyDescent="0.4">
      <c r="A66" t="s">
        <v>754</v>
      </c>
      <c r="B66" s="15">
        <v>9928556</v>
      </c>
      <c r="C66" s="15">
        <v>992865</v>
      </c>
      <c r="D66" s="15">
        <v>23</v>
      </c>
      <c r="E66" t="s">
        <v>990</v>
      </c>
      <c r="F66" s="15">
        <v>200000</v>
      </c>
      <c r="H66">
        <v>6</v>
      </c>
    </row>
    <row r="67" spans="1:8" x14ac:dyDescent="0.4">
      <c r="A67" t="s">
        <v>755</v>
      </c>
      <c r="B67" s="15">
        <v>15302414</v>
      </c>
      <c r="C67" s="15">
        <v>1530229</v>
      </c>
      <c r="D67" s="15">
        <v>30</v>
      </c>
      <c r="E67" t="s">
        <v>991</v>
      </c>
      <c r="H67">
        <v>6</v>
      </c>
    </row>
    <row r="68" spans="1:8" x14ac:dyDescent="0.4">
      <c r="A68" t="s">
        <v>756</v>
      </c>
      <c r="B68" s="15">
        <v>26056494</v>
      </c>
      <c r="C68" s="15">
        <v>2605608</v>
      </c>
      <c r="D68" s="15">
        <v>42</v>
      </c>
      <c r="E68" s="15" t="s">
        <v>992</v>
      </c>
      <c r="F68" s="15">
        <v>120000</v>
      </c>
      <c r="H68">
        <v>3</v>
      </c>
    </row>
    <row r="69" spans="1:8" x14ac:dyDescent="0.4">
      <c r="A69" t="s">
        <v>757</v>
      </c>
      <c r="B69" s="15">
        <v>310567</v>
      </c>
      <c r="C69" s="15">
        <v>31056</v>
      </c>
      <c r="D69" s="15">
        <v>5</v>
      </c>
      <c r="E69" s="15" t="s">
        <v>993</v>
      </c>
      <c r="F69" s="15"/>
      <c r="H69">
        <v>0</v>
      </c>
    </row>
    <row r="70" spans="1:8" x14ac:dyDescent="0.4">
      <c r="A70" t="s">
        <v>758</v>
      </c>
      <c r="B70" s="15">
        <v>5546081</v>
      </c>
      <c r="C70" s="15">
        <v>554604</v>
      </c>
      <c r="D70">
        <v>27</v>
      </c>
      <c r="E70" s="15" t="s">
        <v>994</v>
      </c>
      <c r="F70" s="15"/>
      <c r="H70">
        <v>0</v>
      </c>
    </row>
    <row r="71" spans="1:8" x14ac:dyDescent="0.4">
      <c r="A71" t="s">
        <v>759</v>
      </c>
      <c r="B71" s="15">
        <v>234461374</v>
      </c>
      <c r="C71" s="15">
        <v>23446173</v>
      </c>
      <c r="D71">
        <v>84</v>
      </c>
      <c r="E71" s="15" t="s">
        <v>995</v>
      </c>
      <c r="F71" s="15">
        <v>2682480</v>
      </c>
      <c r="H71">
        <v>4</v>
      </c>
    </row>
    <row r="72" spans="1:8" x14ac:dyDescent="0.4">
      <c r="A72" t="s">
        <v>760</v>
      </c>
      <c r="B72" s="15">
        <v>61223217</v>
      </c>
      <c r="C72" s="15">
        <v>6122322</v>
      </c>
      <c r="D72" s="15">
        <v>35</v>
      </c>
      <c r="E72" t="s">
        <v>996</v>
      </c>
      <c r="H72">
        <v>0</v>
      </c>
    </row>
    <row r="73" spans="1:8" x14ac:dyDescent="0.4">
      <c r="A73" t="s">
        <v>761</v>
      </c>
      <c r="B73" s="15">
        <v>142147475</v>
      </c>
      <c r="C73" s="15">
        <v>14214553</v>
      </c>
      <c r="D73">
        <v>95</v>
      </c>
      <c r="E73" t="s">
        <v>997</v>
      </c>
      <c r="F73" s="15">
        <v>1631495</v>
      </c>
      <c r="H73">
        <v>5</v>
      </c>
    </row>
    <row r="74" spans="1:8" x14ac:dyDescent="0.4">
      <c r="A74" t="s">
        <v>762</v>
      </c>
      <c r="B74" s="15">
        <v>12137754</v>
      </c>
      <c r="C74" s="15">
        <v>1213774</v>
      </c>
      <c r="D74">
        <v>15</v>
      </c>
      <c r="E74" s="15" t="s">
        <v>998</v>
      </c>
      <c r="F74" s="15"/>
      <c r="H74">
        <v>5</v>
      </c>
    </row>
    <row r="75" spans="1:8" x14ac:dyDescent="0.4">
      <c r="A75" t="s">
        <v>763</v>
      </c>
      <c r="B75" s="15">
        <v>154305961</v>
      </c>
      <c r="C75" s="15">
        <v>15430441</v>
      </c>
      <c r="D75" s="15">
        <v>95</v>
      </c>
      <c r="E75" t="s">
        <v>999</v>
      </c>
      <c r="F75" s="15">
        <v>856843</v>
      </c>
      <c r="H75">
        <v>6</v>
      </c>
    </row>
    <row r="76" spans="1:8" x14ac:dyDescent="0.4">
      <c r="A76" t="s">
        <v>764</v>
      </c>
      <c r="B76" s="15">
        <v>24152732</v>
      </c>
      <c r="C76" s="15">
        <v>2415270</v>
      </c>
      <c r="D76">
        <v>28</v>
      </c>
      <c r="E76" t="s">
        <v>1000</v>
      </c>
      <c r="H76">
        <v>6</v>
      </c>
    </row>
    <row r="77" spans="1:8" x14ac:dyDescent="0.4">
      <c r="A77" t="s">
        <v>765</v>
      </c>
      <c r="B77" s="15">
        <v>8605420</v>
      </c>
      <c r="C77" s="15">
        <v>860539</v>
      </c>
      <c r="D77" s="15">
        <v>29</v>
      </c>
      <c r="E77" s="15" t="s">
        <v>1001</v>
      </c>
      <c r="F77" s="15">
        <v>40000</v>
      </c>
      <c r="H77">
        <v>3</v>
      </c>
    </row>
    <row r="78" spans="1:8" x14ac:dyDescent="0.4">
      <c r="A78" t="s">
        <v>766</v>
      </c>
      <c r="B78" s="15">
        <v>15292223</v>
      </c>
      <c r="C78" s="15">
        <v>1529216</v>
      </c>
      <c r="D78">
        <v>33</v>
      </c>
      <c r="E78" t="s">
        <v>1002</v>
      </c>
      <c r="H78">
        <v>0</v>
      </c>
    </row>
    <row r="79" spans="1:8" x14ac:dyDescent="0.4">
      <c r="A79" t="s">
        <v>767</v>
      </c>
      <c r="B79" s="15">
        <v>51820482</v>
      </c>
      <c r="C79" s="15">
        <v>5182039</v>
      </c>
      <c r="D79">
        <v>44</v>
      </c>
      <c r="E79" s="15" t="s">
        <v>1003</v>
      </c>
      <c r="F79" s="15">
        <v>408000</v>
      </c>
      <c r="H79">
        <v>3</v>
      </c>
    </row>
    <row r="80" spans="1:8" x14ac:dyDescent="0.4">
      <c r="A80" t="s">
        <v>768</v>
      </c>
      <c r="B80" s="15">
        <v>21930463</v>
      </c>
      <c r="C80" s="15">
        <v>2193005</v>
      </c>
      <c r="D80" s="15">
        <v>44</v>
      </c>
      <c r="E80" t="s">
        <v>1004</v>
      </c>
      <c r="H80">
        <v>0</v>
      </c>
    </row>
    <row r="81" spans="1:8" x14ac:dyDescent="0.4">
      <c r="A81" t="s">
        <v>769</v>
      </c>
      <c r="B81" s="15">
        <v>49279030</v>
      </c>
      <c r="C81" s="15">
        <v>4927775</v>
      </c>
      <c r="D81">
        <v>29</v>
      </c>
      <c r="E81" t="s">
        <v>1005</v>
      </c>
      <c r="F81" s="15">
        <v>408000</v>
      </c>
      <c r="H81">
        <v>3</v>
      </c>
    </row>
    <row r="82" spans="1:8" x14ac:dyDescent="0.4">
      <c r="A82" t="s">
        <v>770</v>
      </c>
      <c r="B82" s="15">
        <v>18876315</v>
      </c>
      <c r="C82" s="15">
        <v>1887635</v>
      </c>
      <c r="D82">
        <v>31</v>
      </c>
      <c r="E82" s="15" t="s">
        <v>1006</v>
      </c>
      <c r="F82" s="15"/>
      <c r="H82">
        <v>0</v>
      </c>
    </row>
    <row r="83" spans="1:8" x14ac:dyDescent="0.4">
      <c r="A83" t="s">
        <v>771</v>
      </c>
      <c r="B83" s="15">
        <v>33426695</v>
      </c>
      <c r="C83" s="15">
        <v>3342672</v>
      </c>
      <c r="D83">
        <v>42</v>
      </c>
      <c r="E83" t="s">
        <v>1007</v>
      </c>
      <c r="F83" s="15">
        <v>5654370</v>
      </c>
      <c r="H83">
        <v>3</v>
      </c>
    </row>
    <row r="84" spans="1:8" x14ac:dyDescent="0.4">
      <c r="A84" t="s">
        <v>772</v>
      </c>
      <c r="B84" s="15">
        <v>170131080</v>
      </c>
      <c r="C84" s="15">
        <v>17013100</v>
      </c>
      <c r="D84" s="15">
        <v>88</v>
      </c>
      <c r="E84" t="s">
        <v>1008</v>
      </c>
      <c r="F84" s="15">
        <v>2672527</v>
      </c>
      <c r="H84">
        <v>3</v>
      </c>
    </row>
    <row r="85" spans="1:8" x14ac:dyDescent="0.4">
      <c r="A85" t="s">
        <v>773</v>
      </c>
      <c r="B85" s="15">
        <v>171725959</v>
      </c>
      <c r="C85" s="15">
        <v>17172583</v>
      </c>
      <c r="D85" s="15">
        <v>100</v>
      </c>
      <c r="E85" t="s">
        <v>1009</v>
      </c>
      <c r="F85" s="15">
        <v>8271280</v>
      </c>
      <c r="H85">
        <v>6</v>
      </c>
    </row>
    <row r="86" spans="1:8" x14ac:dyDescent="0.4">
      <c r="A86" t="s">
        <v>774</v>
      </c>
      <c r="B86" s="15">
        <v>13012308</v>
      </c>
      <c r="C86" s="15">
        <v>1301230</v>
      </c>
      <c r="D86" s="15">
        <v>11</v>
      </c>
      <c r="E86" s="15" t="s">
        <v>1010</v>
      </c>
      <c r="F86" s="15">
        <v>1527351</v>
      </c>
      <c r="H86">
        <v>2</v>
      </c>
    </row>
    <row r="87" spans="1:8" x14ac:dyDescent="0.4">
      <c r="A87" t="s">
        <v>775</v>
      </c>
      <c r="B87" s="15">
        <v>23479852</v>
      </c>
      <c r="C87" s="15">
        <v>2347981</v>
      </c>
      <c r="D87" s="15">
        <v>39</v>
      </c>
      <c r="E87" s="15" t="s">
        <v>1011</v>
      </c>
      <c r="F87" s="15">
        <v>4389054</v>
      </c>
      <c r="H87">
        <v>6</v>
      </c>
    </row>
    <row r="88" spans="1:8" x14ac:dyDescent="0.4">
      <c r="A88" t="s">
        <v>776</v>
      </c>
      <c r="B88" s="15">
        <v>82166135</v>
      </c>
      <c r="C88" s="15">
        <v>8216613</v>
      </c>
      <c r="D88" s="15">
        <v>22</v>
      </c>
      <c r="E88" s="15" t="s">
        <v>1012</v>
      </c>
      <c r="F88" s="15">
        <v>16479</v>
      </c>
      <c r="H88">
        <v>1</v>
      </c>
    </row>
    <row r="89" spans="1:8" x14ac:dyDescent="0.4">
      <c r="A89" t="s">
        <v>777</v>
      </c>
      <c r="B89" s="15">
        <v>44687176</v>
      </c>
      <c r="C89" s="15">
        <v>4468308</v>
      </c>
      <c r="D89" s="15">
        <v>62</v>
      </c>
      <c r="E89" t="s">
        <v>1013</v>
      </c>
      <c r="F89" s="15">
        <v>6271930</v>
      </c>
      <c r="H89">
        <v>5</v>
      </c>
    </row>
    <row r="90" spans="1:8" x14ac:dyDescent="0.4">
      <c r="A90" t="s">
        <v>778</v>
      </c>
      <c r="B90" s="15">
        <v>74625631</v>
      </c>
      <c r="C90" s="15">
        <v>7462558</v>
      </c>
      <c r="D90" s="15">
        <v>31</v>
      </c>
      <c r="E90" s="15" t="s">
        <v>1014</v>
      </c>
      <c r="F90" s="15"/>
      <c r="H90">
        <v>5</v>
      </c>
    </row>
    <row r="91" spans="1:8" x14ac:dyDescent="0.4">
      <c r="A91" t="s">
        <v>779</v>
      </c>
      <c r="B91" s="15">
        <v>682659</v>
      </c>
      <c r="C91" s="15">
        <v>68266</v>
      </c>
      <c r="D91">
        <v>8</v>
      </c>
      <c r="E91" s="15" t="s">
        <v>1015</v>
      </c>
      <c r="F91" s="15">
        <v>40000</v>
      </c>
      <c r="H91">
        <v>1</v>
      </c>
    </row>
    <row r="92" spans="1:8" x14ac:dyDescent="0.4">
      <c r="A92" t="s">
        <v>780</v>
      </c>
      <c r="B92" s="15">
        <v>25681059</v>
      </c>
      <c r="C92" s="15">
        <v>2568103</v>
      </c>
      <c r="D92">
        <v>23</v>
      </c>
      <c r="E92" t="s">
        <v>1016</v>
      </c>
      <c r="F92" s="15">
        <v>25000</v>
      </c>
      <c r="H92">
        <v>1</v>
      </c>
    </row>
    <row r="93" spans="1:8" x14ac:dyDescent="0.4">
      <c r="A93" t="s">
        <v>781</v>
      </c>
      <c r="B93" s="15">
        <v>177851546</v>
      </c>
      <c r="C93" s="15">
        <v>17785149</v>
      </c>
      <c r="D93">
        <v>98</v>
      </c>
      <c r="E93" t="s">
        <v>1017</v>
      </c>
      <c r="F93" s="15">
        <v>510000</v>
      </c>
      <c r="H93">
        <v>4</v>
      </c>
    </row>
    <row r="94" spans="1:8" x14ac:dyDescent="0.4">
      <c r="A94" t="s">
        <v>782</v>
      </c>
      <c r="B94" s="15">
        <v>46602801</v>
      </c>
      <c r="C94" s="15">
        <v>4660267</v>
      </c>
      <c r="D94" s="15">
        <v>56</v>
      </c>
      <c r="E94" t="s">
        <v>1018</v>
      </c>
      <c r="F94" s="15">
        <v>516726</v>
      </c>
      <c r="H94">
        <v>6</v>
      </c>
    </row>
    <row r="95" spans="1:8" x14ac:dyDescent="0.4">
      <c r="A95" t="s">
        <v>783</v>
      </c>
      <c r="B95" s="15">
        <v>41424368</v>
      </c>
      <c r="C95" s="15">
        <v>4142391</v>
      </c>
      <c r="D95">
        <v>44</v>
      </c>
      <c r="E95" t="s">
        <v>1019</v>
      </c>
      <c r="F95" s="15">
        <v>34843</v>
      </c>
      <c r="H95">
        <v>3</v>
      </c>
    </row>
    <row r="96" spans="1:8" x14ac:dyDescent="0.4">
      <c r="A96" t="s">
        <v>784</v>
      </c>
      <c r="B96" s="15">
        <v>59300000</v>
      </c>
      <c r="C96" s="15">
        <v>5930000</v>
      </c>
      <c r="D96">
        <v>3</v>
      </c>
      <c r="E96" s="15" t="s">
        <v>1020</v>
      </c>
      <c r="F96" s="15"/>
      <c r="H96">
        <v>0</v>
      </c>
    </row>
    <row r="97" spans="1:8" x14ac:dyDescent="0.4">
      <c r="A97" t="s">
        <v>785</v>
      </c>
      <c r="B97" s="15">
        <v>355252</v>
      </c>
      <c r="C97" s="15">
        <v>35524</v>
      </c>
      <c r="D97">
        <v>11</v>
      </c>
      <c r="E97" t="s">
        <v>1021</v>
      </c>
      <c r="H97">
        <v>0</v>
      </c>
    </row>
    <row r="98" spans="1:8" x14ac:dyDescent="0.4">
      <c r="A98" t="s">
        <v>786</v>
      </c>
      <c r="B98" s="15">
        <v>5137616</v>
      </c>
      <c r="C98" s="15">
        <v>513757</v>
      </c>
      <c r="D98" s="15">
        <v>17</v>
      </c>
      <c r="E98" t="s">
        <v>1022</v>
      </c>
      <c r="F98" s="15">
        <v>40000</v>
      </c>
      <c r="H98">
        <v>1</v>
      </c>
    </row>
    <row r="99" spans="1:8" x14ac:dyDescent="0.4">
      <c r="A99" t="s">
        <v>787</v>
      </c>
      <c r="B99" s="15">
        <v>3335425</v>
      </c>
      <c r="C99" s="15">
        <v>333541</v>
      </c>
      <c r="D99">
        <v>27</v>
      </c>
      <c r="E99" t="s">
        <v>1023</v>
      </c>
      <c r="F99" s="15">
        <v>230000</v>
      </c>
      <c r="H99">
        <v>1</v>
      </c>
    </row>
    <row r="100" spans="1:8" x14ac:dyDescent="0.4">
      <c r="A100" t="s">
        <v>788</v>
      </c>
      <c r="B100" s="15">
        <v>237493</v>
      </c>
      <c r="C100" s="15">
        <v>23749</v>
      </c>
      <c r="D100">
        <v>4</v>
      </c>
      <c r="E100" s="15" t="s">
        <v>1024</v>
      </c>
      <c r="F100" s="15"/>
      <c r="H100">
        <v>1</v>
      </c>
    </row>
    <row r="101" spans="1:8" x14ac:dyDescent="0.4">
      <c r="A101" t="s">
        <v>789</v>
      </c>
      <c r="B101" s="15">
        <v>30032923</v>
      </c>
      <c r="C101" s="15">
        <v>3003287</v>
      </c>
      <c r="D101">
        <v>47</v>
      </c>
      <c r="E101" t="s">
        <v>1025</v>
      </c>
      <c r="F101" s="15">
        <v>2585788</v>
      </c>
      <c r="H101">
        <v>3</v>
      </c>
    </row>
    <row r="102" spans="1:8" x14ac:dyDescent="0.4">
      <c r="A102" t="s">
        <v>790</v>
      </c>
      <c r="B102" s="15">
        <v>61767381</v>
      </c>
      <c r="C102" s="15">
        <v>6176737</v>
      </c>
      <c r="D102">
        <v>23</v>
      </c>
      <c r="E102" t="s">
        <v>1026</v>
      </c>
      <c r="F102" s="15">
        <v>237642</v>
      </c>
      <c r="H102">
        <v>1</v>
      </c>
    </row>
    <row r="103" spans="1:8" x14ac:dyDescent="0.4">
      <c r="A103" t="s">
        <v>791</v>
      </c>
      <c r="B103" s="15">
        <v>18664134</v>
      </c>
      <c r="C103" s="15">
        <v>1866411</v>
      </c>
      <c r="D103" s="15">
        <v>20</v>
      </c>
      <c r="E103" t="s">
        <v>1027</v>
      </c>
      <c r="F103" s="15">
        <v>3985795</v>
      </c>
      <c r="H103">
        <v>6</v>
      </c>
    </row>
    <row r="104" spans="1:8" x14ac:dyDescent="0.4">
      <c r="A104" t="s">
        <v>792</v>
      </c>
      <c r="B104" s="15">
        <v>114729128</v>
      </c>
      <c r="C104" s="15">
        <v>11472589</v>
      </c>
      <c r="D104" s="15">
        <v>69</v>
      </c>
      <c r="E104" t="s">
        <v>1028</v>
      </c>
      <c r="H104">
        <v>6</v>
      </c>
    </row>
    <row r="105" spans="1:8" x14ac:dyDescent="0.4">
      <c r="A105" t="s">
        <v>793</v>
      </c>
      <c r="B105" s="15">
        <v>84922928</v>
      </c>
      <c r="C105" s="15">
        <v>8492301</v>
      </c>
      <c r="D105" s="15">
        <v>69</v>
      </c>
      <c r="E105" t="s">
        <v>1029</v>
      </c>
      <c r="F105" s="15">
        <v>10467096</v>
      </c>
      <c r="H105">
        <v>6</v>
      </c>
    </row>
    <row r="106" spans="1:8" x14ac:dyDescent="0.4">
      <c r="A106" t="s">
        <v>794</v>
      </c>
      <c r="B106" s="15">
        <v>177370155</v>
      </c>
      <c r="C106" s="15">
        <v>17737017</v>
      </c>
      <c r="D106">
        <v>91</v>
      </c>
      <c r="E106" s="15" t="s">
        <v>1030</v>
      </c>
      <c r="F106" s="15"/>
      <c r="H106">
        <v>0</v>
      </c>
    </row>
    <row r="107" spans="1:8" x14ac:dyDescent="0.4">
      <c r="A107" t="s">
        <v>795</v>
      </c>
      <c r="B107" s="15">
        <v>30442921</v>
      </c>
      <c r="C107" s="15">
        <v>3044286</v>
      </c>
      <c r="D107" s="15">
        <v>35</v>
      </c>
      <c r="E107" s="15" t="s">
        <v>1031</v>
      </c>
      <c r="F107" s="15"/>
      <c r="H107">
        <v>0</v>
      </c>
    </row>
    <row r="108" spans="1:8" x14ac:dyDescent="0.4">
      <c r="A108" t="s">
        <v>796</v>
      </c>
      <c r="B108" s="15">
        <v>7897802</v>
      </c>
      <c r="C108" s="15">
        <v>789778</v>
      </c>
      <c r="D108" s="15">
        <v>24</v>
      </c>
      <c r="E108" t="s">
        <v>1032</v>
      </c>
      <c r="H108">
        <v>0</v>
      </c>
    </row>
    <row r="109" spans="1:8" x14ac:dyDescent="0.4">
      <c r="A109" t="s">
        <v>797</v>
      </c>
      <c r="B109" s="15">
        <v>4777180</v>
      </c>
      <c r="C109" s="15">
        <v>477717</v>
      </c>
      <c r="D109" s="15">
        <v>25</v>
      </c>
      <c r="E109" s="15" t="s">
        <v>1033</v>
      </c>
      <c r="F109" s="15"/>
      <c r="H109">
        <v>0</v>
      </c>
    </row>
    <row r="110" spans="1:8" x14ac:dyDescent="0.4">
      <c r="A110" t="s">
        <v>798</v>
      </c>
      <c r="B110" s="15">
        <v>401568627</v>
      </c>
      <c r="C110" s="15">
        <v>37837919</v>
      </c>
      <c r="D110">
        <v>108</v>
      </c>
      <c r="E110" s="15" t="s">
        <v>1034</v>
      </c>
      <c r="F110" s="15">
        <v>227951070</v>
      </c>
      <c r="H110">
        <v>11</v>
      </c>
    </row>
    <row r="111" spans="1:8" x14ac:dyDescent="0.4">
      <c r="A111" t="s">
        <v>799</v>
      </c>
      <c r="B111" s="15">
        <v>66695206</v>
      </c>
      <c r="C111" s="15">
        <v>6669520</v>
      </c>
      <c r="D111">
        <v>62</v>
      </c>
      <c r="E111" t="s">
        <v>1035</v>
      </c>
      <c r="F111" s="15">
        <v>3065000</v>
      </c>
      <c r="H111">
        <v>2</v>
      </c>
    </row>
    <row r="112" spans="1:8" x14ac:dyDescent="0.4">
      <c r="A112" t="s">
        <v>800</v>
      </c>
      <c r="B112" s="15">
        <v>32227611</v>
      </c>
      <c r="C112" s="15">
        <v>3222757</v>
      </c>
      <c r="D112">
        <v>38</v>
      </c>
      <c r="E112" t="s">
        <v>1036</v>
      </c>
      <c r="F112" s="15">
        <v>6851061</v>
      </c>
      <c r="H112">
        <v>6</v>
      </c>
    </row>
    <row r="113" spans="1:8" x14ac:dyDescent="0.4">
      <c r="A113" t="s">
        <v>801</v>
      </c>
      <c r="B113" s="15">
        <v>16832403</v>
      </c>
      <c r="C113" s="15">
        <v>1683239</v>
      </c>
      <c r="D113">
        <v>27</v>
      </c>
      <c r="E113" t="s">
        <v>1037</v>
      </c>
      <c r="H113">
        <v>6</v>
      </c>
    </row>
    <row r="114" spans="1:8" x14ac:dyDescent="0.4">
      <c r="A114" t="s">
        <v>802</v>
      </c>
      <c r="B114" s="15">
        <v>298131083</v>
      </c>
      <c r="C114" s="15">
        <v>29813035</v>
      </c>
      <c r="D114">
        <v>108</v>
      </c>
      <c r="E114" t="s">
        <v>1038</v>
      </c>
      <c r="H114">
        <v>3</v>
      </c>
    </row>
    <row r="115" spans="1:8" x14ac:dyDescent="0.4">
      <c r="A115" t="s">
        <v>803</v>
      </c>
      <c r="B115" s="15"/>
      <c r="C115" s="15"/>
      <c r="D115" s="15">
        <v>108</v>
      </c>
      <c r="E115" t="s">
        <v>1039</v>
      </c>
      <c r="H115">
        <v>0</v>
      </c>
    </row>
    <row r="116" spans="1:8" x14ac:dyDescent="0.4">
      <c r="A116" t="s">
        <v>804</v>
      </c>
      <c r="B116" s="15">
        <v>192453114</v>
      </c>
      <c r="C116" s="15">
        <v>19245116</v>
      </c>
      <c r="D116">
        <v>96</v>
      </c>
      <c r="E116" t="s">
        <v>1040</v>
      </c>
      <c r="F116" s="15">
        <v>6718766</v>
      </c>
      <c r="H116">
        <v>3</v>
      </c>
    </row>
    <row r="117" spans="1:8" x14ac:dyDescent="0.4">
      <c r="A117" t="s">
        <v>805</v>
      </c>
      <c r="B117" s="15">
        <v>161854788</v>
      </c>
      <c r="C117" s="15">
        <v>16185256</v>
      </c>
      <c r="D117" s="15">
        <v>110</v>
      </c>
      <c r="E117" s="15" t="s">
        <v>1041</v>
      </c>
      <c r="F117" s="15">
        <v>7669484</v>
      </c>
      <c r="H117">
        <v>4</v>
      </c>
    </row>
    <row r="118" spans="1:8" x14ac:dyDescent="0.4">
      <c r="A118" t="s">
        <v>806</v>
      </c>
      <c r="B118" s="15">
        <v>100041333</v>
      </c>
      <c r="C118" s="15">
        <v>10004135</v>
      </c>
      <c r="D118">
        <v>70</v>
      </c>
      <c r="E118" t="s">
        <v>1042</v>
      </c>
      <c r="H118">
        <v>0</v>
      </c>
    </row>
    <row r="119" spans="1:8" x14ac:dyDescent="0.4">
      <c r="A119" t="s">
        <v>807</v>
      </c>
      <c r="B119" s="15">
        <v>41394574</v>
      </c>
      <c r="C119" s="15">
        <v>4139456</v>
      </c>
      <c r="D119" s="15">
        <v>40</v>
      </c>
      <c r="E119" t="s">
        <v>1043</v>
      </c>
      <c r="F119" s="15">
        <v>408000</v>
      </c>
      <c r="H119">
        <v>3</v>
      </c>
    </row>
    <row r="120" spans="1:8" x14ac:dyDescent="0.4">
      <c r="A120" t="s">
        <v>808</v>
      </c>
      <c r="B120" s="15">
        <v>52452160</v>
      </c>
      <c r="C120" s="15">
        <v>5245210</v>
      </c>
      <c r="D120">
        <v>58</v>
      </c>
      <c r="E120" t="s">
        <v>1044</v>
      </c>
      <c r="F120" s="15">
        <v>846000</v>
      </c>
      <c r="H120">
        <v>3</v>
      </c>
    </row>
    <row r="121" spans="1:8" x14ac:dyDescent="0.4">
      <c r="A121" t="s">
        <v>809</v>
      </c>
      <c r="B121" s="15">
        <v>22398451</v>
      </c>
      <c r="C121" s="15">
        <v>2239849</v>
      </c>
      <c r="D121">
        <v>32</v>
      </c>
      <c r="E121" s="15" t="s">
        <v>1045</v>
      </c>
      <c r="F121" s="15"/>
      <c r="H121">
        <v>0</v>
      </c>
    </row>
    <row r="122" spans="1:8" x14ac:dyDescent="0.4">
      <c r="A122" t="s">
        <v>810</v>
      </c>
      <c r="B122" s="15">
        <v>86715656</v>
      </c>
      <c r="C122" s="15">
        <v>8671560</v>
      </c>
      <c r="D122">
        <v>50</v>
      </c>
      <c r="E122" t="s">
        <v>1046</v>
      </c>
      <c r="F122" s="15">
        <v>750000</v>
      </c>
      <c r="H122">
        <v>3</v>
      </c>
    </row>
    <row r="123" spans="1:8" x14ac:dyDescent="0.4">
      <c r="A123" t="s">
        <v>811</v>
      </c>
      <c r="B123" s="15">
        <v>15563530</v>
      </c>
      <c r="C123" s="15">
        <v>1556280</v>
      </c>
      <c r="D123" s="15">
        <v>35</v>
      </c>
      <c r="E123" t="s">
        <v>1047</v>
      </c>
      <c r="H123">
        <v>3</v>
      </c>
    </row>
    <row r="124" spans="1:8" x14ac:dyDescent="0.4">
      <c r="A124" t="s">
        <v>812</v>
      </c>
      <c r="B124" s="15">
        <v>23047764</v>
      </c>
      <c r="C124" s="15">
        <v>2304776</v>
      </c>
      <c r="D124">
        <v>23</v>
      </c>
      <c r="E124" t="s">
        <v>1048</v>
      </c>
      <c r="F124" s="15">
        <v>180000</v>
      </c>
      <c r="H124">
        <v>3</v>
      </c>
    </row>
    <row r="125" spans="1:8" x14ac:dyDescent="0.4">
      <c r="A125" t="s">
        <v>813</v>
      </c>
      <c r="B125" s="15">
        <v>102147660</v>
      </c>
      <c r="C125" s="15">
        <v>10214637</v>
      </c>
      <c r="D125" s="15">
        <v>92</v>
      </c>
      <c r="E125" s="15" t="s">
        <v>1049</v>
      </c>
      <c r="F125" s="15"/>
      <c r="H125">
        <v>3</v>
      </c>
    </row>
    <row r="126" spans="1:8" x14ac:dyDescent="0.4">
      <c r="A126" t="s">
        <v>814</v>
      </c>
      <c r="B126" s="15">
        <v>59500176</v>
      </c>
      <c r="C126" s="15">
        <v>5949597</v>
      </c>
      <c r="D126">
        <v>64</v>
      </c>
      <c r="E126" t="s">
        <v>1050</v>
      </c>
      <c r="F126" s="15">
        <v>3316444</v>
      </c>
      <c r="H126">
        <v>5</v>
      </c>
    </row>
    <row r="127" spans="1:8" x14ac:dyDescent="0.4">
      <c r="A127" t="s">
        <v>815</v>
      </c>
      <c r="B127" s="15">
        <v>44449210</v>
      </c>
      <c r="C127" s="15">
        <v>4444917</v>
      </c>
      <c r="D127" s="15">
        <v>33</v>
      </c>
      <c r="E127" t="s">
        <v>1051</v>
      </c>
      <c r="F127" s="15">
        <v>733265</v>
      </c>
      <c r="H127">
        <v>2</v>
      </c>
    </row>
    <row r="128" spans="1:8" x14ac:dyDescent="0.4">
      <c r="A128" t="s">
        <v>816</v>
      </c>
      <c r="B128" s="15">
        <v>73909273</v>
      </c>
      <c r="C128" s="15">
        <v>7390913</v>
      </c>
      <c r="D128" s="15">
        <v>34</v>
      </c>
      <c r="E128" t="s">
        <v>1052</v>
      </c>
      <c r="H128">
        <v>0</v>
      </c>
    </row>
    <row r="129" spans="1:8" x14ac:dyDescent="0.4">
      <c r="A129" t="s">
        <v>817</v>
      </c>
      <c r="B129" s="15">
        <v>184178801</v>
      </c>
      <c r="C129" s="15">
        <v>18417584</v>
      </c>
      <c r="D129" s="15">
        <v>87</v>
      </c>
      <c r="E129" s="15" t="s">
        <v>1053</v>
      </c>
      <c r="F129" s="15">
        <v>6516213</v>
      </c>
      <c r="H129">
        <v>3</v>
      </c>
    </row>
    <row r="130" spans="1:8" x14ac:dyDescent="0.4">
      <c r="A130" t="s">
        <v>818</v>
      </c>
      <c r="B130" s="15">
        <v>146278464</v>
      </c>
      <c r="C130" s="15">
        <v>14627843</v>
      </c>
      <c r="D130">
        <v>61</v>
      </c>
      <c r="E130" t="s">
        <v>1054</v>
      </c>
      <c r="H130">
        <v>3</v>
      </c>
    </row>
    <row r="131" spans="1:8" x14ac:dyDescent="0.4">
      <c r="A131" t="s">
        <v>819</v>
      </c>
      <c r="B131" s="15">
        <v>32568542</v>
      </c>
      <c r="C131" s="15">
        <v>3256720</v>
      </c>
      <c r="D131">
        <v>47</v>
      </c>
      <c r="E131" s="15" t="s">
        <v>1055</v>
      </c>
      <c r="F131" s="15">
        <v>2309202</v>
      </c>
      <c r="H131">
        <v>3</v>
      </c>
    </row>
    <row r="132" spans="1:8" x14ac:dyDescent="0.4">
      <c r="A132" t="s">
        <v>820</v>
      </c>
      <c r="B132" s="15">
        <v>156532652</v>
      </c>
      <c r="C132" s="15">
        <v>15652923</v>
      </c>
      <c r="D132">
        <v>91</v>
      </c>
      <c r="E132" t="s">
        <v>1056</v>
      </c>
      <c r="H132">
        <v>0</v>
      </c>
    </row>
    <row r="133" spans="1:8" x14ac:dyDescent="0.4">
      <c r="A133" t="s">
        <v>821</v>
      </c>
      <c r="B133" s="15">
        <v>150277805</v>
      </c>
      <c r="C133" s="15">
        <v>15027774</v>
      </c>
      <c r="D133">
        <v>77</v>
      </c>
      <c r="E133" s="15" t="s">
        <v>1057</v>
      </c>
      <c r="F133" s="15"/>
      <c r="H133">
        <v>0</v>
      </c>
    </row>
    <row r="134" spans="1:8" x14ac:dyDescent="0.4">
      <c r="A134" t="s">
        <v>822</v>
      </c>
      <c r="B134" s="15">
        <v>138493899</v>
      </c>
      <c r="C134" s="15">
        <v>13849183</v>
      </c>
      <c r="D134">
        <v>103</v>
      </c>
      <c r="E134" t="s">
        <v>1058</v>
      </c>
      <c r="F134" s="15">
        <v>2137568</v>
      </c>
      <c r="H134">
        <v>3</v>
      </c>
    </row>
    <row r="135" spans="1:8" x14ac:dyDescent="0.4">
      <c r="A135" t="s">
        <v>823</v>
      </c>
      <c r="B135" s="15">
        <v>132519189</v>
      </c>
      <c r="C135" s="15">
        <v>13251767</v>
      </c>
      <c r="D135" s="15">
        <v>93</v>
      </c>
      <c r="E135" t="s">
        <v>1059</v>
      </c>
      <c r="F135" s="15">
        <v>5379253</v>
      </c>
      <c r="H135">
        <v>9</v>
      </c>
    </row>
    <row r="136" spans="1:8" x14ac:dyDescent="0.4">
      <c r="A136" t="s">
        <v>824</v>
      </c>
      <c r="B136" s="15">
        <v>45557757</v>
      </c>
      <c r="C136" s="15">
        <v>4555775</v>
      </c>
      <c r="D136">
        <v>45</v>
      </c>
      <c r="E136" t="s">
        <v>1060</v>
      </c>
      <c r="F136" s="15">
        <v>6498430</v>
      </c>
      <c r="H136">
        <v>6</v>
      </c>
    </row>
    <row r="137" spans="1:8" x14ac:dyDescent="0.4">
      <c r="A137" t="s">
        <v>825</v>
      </c>
      <c r="B137" s="15">
        <v>7010</v>
      </c>
      <c r="C137" s="15">
        <v>701</v>
      </c>
      <c r="D137">
        <v>4</v>
      </c>
      <c r="E137" s="15" t="s">
        <v>1061</v>
      </c>
      <c r="F137" s="15"/>
      <c r="H137">
        <v>0</v>
      </c>
    </row>
    <row r="138" spans="1:8" x14ac:dyDescent="0.4">
      <c r="A138" t="s">
        <v>826</v>
      </c>
      <c r="B138" s="15">
        <v>7990280</v>
      </c>
      <c r="C138" s="15">
        <v>799025</v>
      </c>
      <c r="D138" s="15">
        <v>33</v>
      </c>
      <c r="E138" t="s">
        <v>1062</v>
      </c>
      <c r="H138">
        <v>0</v>
      </c>
    </row>
    <row r="139" spans="1:8" x14ac:dyDescent="0.4">
      <c r="A139" t="s">
        <v>827</v>
      </c>
      <c r="B139" s="15">
        <v>25094036</v>
      </c>
      <c r="C139" s="15">
        <v>2509409</v>
      </c>
      <c r="D139">
        <v>38</v>
      </c>
      <c r="E139" t="s">
        <v>1063</v>
      </c>
      <c r="F139" s="15">
        <v>6061910</v>
      </c>
      <c r="H139">
        <v>5</v>
      </c>
    </row>
    <row r="140" spans="1:8" x14ac:dyDescent="0.4">
      <c r="A140" t="s">
        <v>828</v>
      </c>
      <c r="B140" s="15">
        <v>84526146</v>
      </c>
      <c r="C140" s="15">
        <v>8452363</v>
      </c>
      <c r="D140">
        <v>84</v>
      </c>
      <c r="E140" s="15" t="s">
        <v>1064</v>
      </c>
      <c r="F140" s="15"/>
      <c r="H140">
        <v>5</v>
      </c>
    </row>
    <row r="141" spans="1:8" x14ac:dyDescent="0.4">
      <c r="A141" t="s">
        <v>829</v>
      </c>
      <c r="B141" s="15">
        <v>16854338</v>
      </c>
      <c r="C141" s="15">
        <v>1685423</v>
      </c>
      <c r="D141">
        <v>38</v>
      </c>
      <c r="E141" t="s">
        <v>1065</v>
      </c>
      <c r="H141">
        <v>0</v>
      </c>
    </row>
    <row r="142" spans="1:8" x14ac:dyDescent="0.4">
      <c r="A142" t="s">
        <v>830</v>
      </c>
      <c r="B142" s="15">
        <v>54773029</v>
      </c>
      <c r="C142" s="15">
        <v>5476995</v>
      </c>
      <c r="D142" s="15">
        <v>58</v>
      </c>
      <c r="E142" t="s">
        <v>1066</v>
      </c>
      <c r="F142" s="15">
        <v>5416800</v>
      </c>
      <c r="H142">
        <v>3</v>
      </c>
    </row>
    <row r="143" spans="1:8" x14ac:dyDescent="0.4">
      <c r="A143" t="s">
        <v>831</v>
      </c>
      <c r="B143" s="15">
        <v>26449986</v>
      </c>
      <c r="C143" s="15">
        <v>2644993</v>
      </c>
      <c r="D143" s="15">
        <v>37</v>
      </c>
      <c r="E143" t="s">
        <v>1067</v>
      </c>
      <c r="F143" s="15">
        <v>5416800</v>
      </c>
      <c r="H143">
        <v>3</v>
      </c>
    </row>
    <row r="144" spans="1:8" x14ac:dyDescent="0.4">
      <c r="A144" t="s">
        <v>832</v>
      </c>
      <c r="B144" s="15">
        <v>41875779</v>
      </c>
      <c r="C144" s="15">
        <v>4187398</v>
      </c>
      <c r="D144" s="15">
        <v>74</v>
      </c>
      <c r="E144" s="15" t="s">
        <v>1068</v>
      </c>
      <c r="F144" s="15"/>
      <c r="H144">
        <v>3</v>
      </c>
    </row>
    <row r="145" spans="1:8" x14ac:dyDescent="0.4">
      <c r="A145" t="s">
        <v>833</v>
      </c>
      <c r="B145" s="15">
        <v>161575635</v>
      </c>
      <c r="C145" s="15">
        <v>16157368</v>
      </c>
      <c r="D145">
        <v>106</v>
      </c>
      <c r="E145" t="s">
        <v>1069</v>
      </c>
      <c r="F145" s="15">
        <v>3489600</v>
      </c>
      <c r="H145">
        <v>6</v>
      </c>
    </row>
    <row r="146" spans="1:8" x14ac:dyDescent="0.4">
      <c r="A146" t="s">
        <v>834</v>
      </c>
      <c r="B146" s="15">
        <v>33448496</v>
      </c>
      <c r="C146" s="15">
        <v>3344845</v>
      </c>
      <c r="D146" s="15">
        <v>49</v>
      </c>
      <c r="E146" t="s">
        <v>1070</v>
      </c>
      <c r="F146" s="15">
        <v>1862400</v>
      </c>
      <c r="H146">
        <v>3</v>
      </c>
    </row>
    <row r="147" spans="1:8" x14ac:dyDescent="0.4">
      <c r="A147" t="s">
        <v>835</v>
      </c>
      <c r="B147" s="15">
        <v>157692247</v>
      </c>
      <c r="C147" s="15">
        <v>15769072</v>
      </c>
      <c r="D147">
        <v>85</v>
      </c>
      <c r="E147" t="s">
        <v>1071</v>
      </c>
      <c r="F147" s="15">
        <v>4898570</v>
      </c>
      <c r="H147">
        <v>5</v>
      </c>
    </row>
    <row r="148" spans="1:8" x14ac:dyDescent="0.4">
      <c r="A148" t="s">
        <v>836</v>
      </c>
      <c r="B148" s="15">
        <v>130260912</v>
      </c>
      <c r="C148" s="15">
        <v>13026093</v>
      </c>
      <c r="D148">
        <v>27</v>
      </c>
      <c r="E148" s="15" t="s">
        <v>1072</v>
      </c>
      <c r="F148" s="15">
        <v>524940</v>
      </c>
      <c r="H148">
        <v>5</v>
      </c>
    </row>
    <row r="149" spans="1:8" x14ac:dyDescent="0.4">
      <c r="A149" t="s">
        <v>837</v>
      </c>
      <c r="B149" s="15">
        <v>1754529</v>
      </c>
      <c r="C149" s="15">
        <v>175452</v>
      </c>
      <c r="D149">
        <v>12</v>
      </c>
      <c r="E149" t="s">
        <v>1073</v>
      </c>
      <c r="H149">
        <v>5</v>
      </c>
    </row>
    <row r="150" spans="1:8" x14ac:dyDescent="0.4">
      <c r="A150" t="s">
        <v>838</v>
      </c>
      <c r="B150" s="15">
        <v>13377735</v>
      </c>
      <c r="C150" s="15">
        <v>1337773</v>
      </c>
      <c r="D150" s="15">
        <v>34</v>
      </c>
      <c r="E150" t="s">
        <v>1074</v>
      </c>
      <c r="H150">
        <v>0</v>
      </c>
    </row>
    <row r="151" spans="1:8" x14ac:dyDescent="0.4">
      <c r="A151" t="s">
        <v>839</v>
      </c>
      <c r="B151" s="15">
        <v>150491339</v>
      </c>
      <c r="C151" s="15">
        <v>15048970</v>
      </c>
      <c r="D151" s="15">
        <v>88</v>
      </c>
      <c r="E151" t="s">
        <v>1075</v>
      </c>
      <c r="F151" s="15">
        <v>2281400</v>
      </c>
      <c r="H151">
        <v>3</v>
      </c>
    </row>
    <row r="152" spans="1:8" x14ac:dyDescent="0.4">
      <c r="A152" t="s">
        <v>840</v>
      </c>
      <c r="B152" s="15">
        <v>28851349</v>
      </c>
      <c r="C152" s="15">
        <v>2885126</v>
      </c>
      <c r="D152" s="15">
        <v>40</v>
      </c>
      <c r="E152" s="15" t="s">
        <v>1076</v>
      </c>
      <c r="F152" s="15">
        <v>1315800</v>
      </c>
      <c r="H152">
        <v>3</v>
      </c>
    </row>
    <row r="153" spans="1:8" x14ac:dyDescent="0.4">
      <c r="A153" t="s">
        <v>841</v>
      </c>
      <c r="B153" s="15">
        <v>133790023</v>
      </c>
      <c r="C153" s="15">
        <v>13378915</v>
      </c>
      <c r="D153" s="15">
        <v>81</v>
      </c>
      <c r="E153" s="15" t="s">
        <v>1077</v>
      </c>
      <c r="F153" s="15"/>
      <c r="H153">
        <v>0</v>
      </c>
    </row>
    <row r="154" spans="1:8" x14ac:dyDescent="0.4">
      <c r="A154" t="s">
        <v>842</v>
      </c>
      <c r="B154" s="15">
        <v>63507831</v>
      </c>
      <c r="C154" s="15">
        <v>6350565</v>
      </c>
      <c r="D154" s="15">
        <v>66</v>
      </c>
      <c r="E154" s="15" t="s">
        <v>1078</v>
      </c>
      <c r="F154" s="15"/>
      <c r="H154">
        <v>0</v>
      </c>
    </row>
    <row r="155" spans="1:8" x14ac:dyDescent="0.4">
      <c r="A155" t="s">
        <v>843</v>
      </c>
      <c r="B155" s="15">
        <v>114884554</v>
      </c>
      <c r="C155" s="15">
        <v>11488170</v>
      </c>
      <c r="D155" s="15">
        <v>90</v>
      </c>
      <c r="E155" s="15" t="s">
        <v>1079</v>
      </c>
      <c r="F155" s="15"/>
      <c r="H155">
        <v>0</v>
      </c>
    </row>
    <row r="156" spans="1:8" x14ac:dyDescent="0.4">
      <c r="A156" t="s">
        <v>844</v>
      </c>
      <c r="B156" s="15">
        <v>53901355</v>
      </c>
      <c r="C156" s="15">
        <v>5390134</v>
      </c>
      <c r="D156" s="15">
        <v>55</v>
      </c>
      <c r="E156" s="15" t="s">
        <v>1080</v>
      </c>
      <c r="F156" s="15">
        <v>2311424</v>
      </c>
      <c r="H156">
        <v>3</v>
      </c>
    </row>
    <row r="157" spans="1:8" x14ac:dyDescent="0.4">
      <c r="A157" t="s">
        <v>845</v>
      </c>
      <c r="B157" s="15">
        <v>156282969</v>
      </c>
      <c r="C157" s="15">
        <v>15628019</v>
      </c>
      <c r="D157">
        <v>97</v>
      </c>
      <c r="E157" s="15" t="s">
        <v>1081</v>
      </c>
      <c r="F157" s="15"/>
      <c r="H157">
        <v>3</v>
      </c>
    </row>
    <row r="158" spans="1:8" x14ac:dyDescent="0.4">
      <c r="A158" t="s">
        <v>846</v>
      </c>
      <c r="B158" s="15">
        <v>123307678</v>
      </c>
      <c r="C158" s="15">
        <v>12330475</v>
      </c>
      <c r="D158" s="15">
        <v>75</v>
      </c>
      <c r="E158" s="15" t="s">
        <v>1082</v>
      </c>
      <c r="F158" s="15">
        <v>2470753</v>
      </c>
      <c r="H158">
        <v>5</v>
      </c>
    </row>
    <row r="159" spans="1:8" x14ac:dyDescent="0.4">
      <c r="A159" t="s">
        <v>847</v>
      </c>
      <c r="B159" s="15">
        <v>113195676</v>
      </c>
      <c r="C159" s="15">
        <v>11319299</v>
      </c>
      <c r="D159">
        <v>77</v>
      </c>
      <c r="E159" t="s">
        <v>1083</v>
      </c>
      <c r="F159" s="15">
        <v>12641339</v>
      </c>
      <c r="H159">
        <v>6</v>
      </c>
    </row>
    <row r="160" spans="1:8" x14ac:dyDescent="0.4">
      <c r="A160" t="s">
        <v>848</v>
      </c>
      <c r="B160" s="15">
        <v>101025667</v>
      </c>
      <c r="C160" s="15">
        <v>10102565</v>
      </c>
      <c r="D160" s="15">
        <v>45</v>
      </c>
      <c r="E160" s="15" t="s">
        <v>1084</v>
      </c>
      <c r="F160" s="15">
        <v>251177</v>
      </c>
      <c r="H160">
        <v>3</v>
      </c>
    </row>
    <row r="161" spans="1:8" x14ac:dyDescent="0.4">
      <c r="A161" t="s">
        <v>849</v>
      </c>
      <c r="B161" s="15">
        <v>87476737</v>
      </c>
      <c r="C161" s="15">
        <v>8747410</v>
      </c>
      <c r="D161" s="15">
        <v>78</v>
      </c>
      <c r="E161" t="s">
        <v>1085</v>
      </c>
      <c r="F161" s="15">
        <v>3824082</v>
      </c>
      <c r="H161">
        <v>3</v>
      </c>
    </row>
    <row r="162" spans="1:8" x14ac:dyDescent="0.4">
      <c r="A162" t="s">
        <v>850</v>
      </c>
      <c r="B162" s="15">
        <v>63349938</v>
      </c>
      <c r="C162" s="15">
        <v>6334153</v>
      </c>
      <c r="D162" s="15">
        <v>66</v>
      </c>
      <c r="E162" s="15" t="s">
        <v>1086</v>
      </c>
      <c r="F162" s="15"/>
      <c r="H162">
        <v>3</v>
      </c>
    </row>
    <row r="163" spans="1:8" x14ac:dyDescent="0.4">
      <c r="A163" t="s">
        <v>851</v>
      </c>
      <c r="B163" s="15">
        <v>115060172</v>
      </c>
      <c r="C163" s="15">
        <v>11506012</v>
      </c>
      <c r="D163" s="15">
        <v>10</v>
      </c>
      <c r="E163" s="15" t="s">
        <v>1087</v>
      </c>
      <c r="F163" s="15">
        <v>512729</v>
      </c>
      <c r="H163">
        <v>3</v>
      </c>
    </row>
    <row r="164" spans="1:8" x14ac:dyDescent="0.4">
      <c r="A164" t="s">
        <v>852</v>
      </c>
      <c r="B164" s="15">
        <v>64513221</v>
      </c>
      <c r="C164" s="15">
        <v>6451319</v>
      </c>
      <c r="D164">
        <v>34</v>
      </c>
      <c r="E164" s="15" t="s">
        <v>1088</v>
      </c>
      <c r="F164" s="15"/>
      <c r="H164">
        <v>3</v>
      </c>
    </row>
    <row r="165" spans="1:8" x14ac:dyDescent="0.4">
      <c r="A165" t="s">
        <v>853</v>
      </c>
      <c r="B165" s="15">
        <v>202453880</v>
      </c>
      <c r="C165" s="15">
        <v>20245415</v>
      </c>
      <c r="D165">
        <v>74</v>
      </c>
      <c r="E165" s="15" t="s">
        <v>1089</v>
      </c>
      <c r="F165" s="15">
        <v>7424952</v>
      </c>
      <c r="H165">
        <v>4</v>
      </c>
    </row>
    <row r="166" spans="1:8" x14ac:dyDescent="0.4">
      <c r="A166" t="s">
        <v>854</v>
      </c>
      <c r="B166" s="15">
        <v>25266183</v>
      </c>
      <c r="C166" s="15">
        <v>2526616</v>
      </c>
      <c r="D166" s="15">
        <v>22</v>
      </c>
      <c r="E166" t="s">
        <v>1090</v>
      </c>
      <c r="H166">
        <v>0</v>
      </c>
    </row>
    <row r="167" spans="1:8" x14ac:dyDescent="0.4">
      <c r="A167" t="s">
        <v>855</v>
      </c>
      <c r="B167" s="15">
        <v>101545539</v>
      </c>
      <c r="C167" s="15">
        <v>10154702</v>
      </c>
      <c r="D167">
        <v>59</v>
      </c>
      <c r="E167" t="s">
        <v>1091</v>
      </c>
      <c r="F167" s="15">
        <v>4847790</v>
      </c>
      <c r="H167">
        <v>5</v>
      </c>
    </row>
    <row r="168" spans="1:8" x14ac:dyDescent="0.4">
      <c r="A168" t="s">
        <v>856</v>
      </c>
      <c r="B168" s="15">
        <v>6925059</v>
      </c>
      <c r="C168" s="15">
        <v>692503</v>
      </c>
      <c r="D168" s="15">
        <v>22</v>
      </c>
      <c r="E168" s="15" t="s">
        <v>1092</v>
      </c>
      <c r="F168" s="15">
        <v>70000</v>
      </c>
      <c r="H168">
        <v>2</v>
      </c>
    </row>
    <row r="169" spans="1:8" x14ac:dyDescent="0.4">
      <c r="A169" t="s">
        <v>857</v>
      </c>
      <c r="B169" s="15">
        <v>28863633</v>
      </c>
      <c r="C169" s="15">
        <v>2886366</v>
      </c>
      <c r="D169">
        <v>37</v>
      </c>
      <c r="E169" t="s">
        <v>1093</v>
      </c>
      <c r="H169">
        <v>2</v>
      </c>
    </row>
    <row r="170" spans="1:8" x14ac:dyDescent="0.4">
      <c r="A170" t="s">
        <v>858</v>
      </c>
      <c r="B170" s="15">
        <v>29839159</v>
      </c>
      <c r="C170" s="15">
        <v>2983882</v>
      </c>
      <c r="D170">
        <v>44</v>
      </c>
      <c r="E170" s="15" t="s">
        <v>1094</v>
      </c>
      <c r="F170" s="15"/>
      <c r="H170">
        <v>2</v>
      </c>
    </row>
    <row r="171" spans="1:8" x14ac:dyDescent="0.4">
      <c r="A171" t="s">
        <v>859</v>
      </c>
      <c r="B171" s="15">
        <v>136555879</v>
      </c>
      <c r="C171" s="15">
        <v>13655457</v>
      </c>
      <c r="D171">
        <v>89</v>
      </c>
      <c r="E171" t="s">
        <v>1095</v>
      </c>
      <c r="H171">
        <v>0</v>
      </c>
    </row>
    <row r="172" spans="1:8" x14ac:dyDescent="0.4">
      <c r="A172" t="s">
        <v>860</v>
      </c>
      <c r="B172" s="15">
        <v>21730765</v>
      </c>
      <c r="C172" s="15">
        <v>2173080</v>
      </c>
      <c r="D172">
        <v>31</v>
      </c>
      <c r="E172" t="s">
        <v>1096</v>
      </c>
      <c r="H172">
        <v>0</v>
      </c>
    </row>
    <row r="173" spans="1:8" x14ac:dyDescent="0.4">
      <c r="A173" t="s">
        <v>861</v>
      </c>
      <c r="B173" s="15"/>
      <c r="C173" s="15"/>
      <c r="D173">
        <v>31</v>
      </c>
      <c r="E173" t="s">
        <v>1097</v>
      </c>
      <c r="H173">
        <v>0</v>
      </c>
    </row>
    <row r="174" spans="1:8" x14ac:dyDescent="0.4">
      <c r="A174" t="s">
        <v>862</v>
      </c>
      <c r="B174" s="15">
        <v>0</v>
      </c>
      <c r="C174" s="15">
        <v>0</v>
      </c>
      <c r="D174">
        <v>2</v>
      </c>
      <c r="E174" t="s">
        <v>1098</v>
      </c>
      <c r="H174">
        <v>0</v>
      </c>
    </row>
    <row r="175" spans="1:8" x14ac:dyDescent="0.4">
      <c r="A175" t="s">
        <v>863</v>
      </c>
      <c r="B175" s="15">
        <v>81263464</v>
      </c>
      <c r="C175" s="15">
        <v>8125656</v>
      </c>
      <c r="D175">
        <v>51</v>
      </c>
      <c r="E175" t="s">
        <v>1099</v>
      </c>
      <c r="F175" s="15">
        <v>774850</v>
      </c>
      <c r="H175">
        <v>3</v>
      </c>
    </row>
    <row r="176" spans="1:8" x14ac:dyDescent="0.4">
      <c r="A176" t="s">
        <v>864</v>
      </c>
      <c r="B176" s="15">
        <v>218639224</v>
      </c>
      <c r="C176" s="15">
        <v>21863921</v>
      </c>
      <c r="D176" s="15">
        <v>89</v>
      </c>
      <c r="E176" t="s">
        <v>1100</v>
      </c>
      <c r="F176" s="15">
        <v>2688874</v>
      </c>
      <c r="H176">
        <v>3</v>
      </c>
    </row>
    <row r="177" spans="1:8" x14ac:dyDescent="0.4">
      <c r="A177" t="s">
        <v>865</v>
      </c>
      <c r="B177" s="15">
        <v>126380765</v>
      </c>
      <c r="C177" s="15">
        <v>12638074</v>
      </c>
      <c r="D177">
        <v>38</v>
      </c>
      <c r="E177" t="s">
        <v>1101</v>
      </c>
      <c r="F177" s="15">
        <v>1306422</v>
      </c>
      <c r="H177">
        <v>3</v>
      </c>
    </row>
    <row r="178" spans="1:8" x14ac:dyDescent="0.4">
      <c r="A178" t="s">
        <v>866</v>
      </c>
      <c r="B178" s="15">
        <v>79413247</v>
      </c>
      <c r="C178" s="15">
        <v>7940765</v>
      </c>
      <c r="D178" s="15">
        <v>52</v>
      </c>
      <c r="E178" t="s">
        <v>1102</v>
      </c>
      <c r="F178" s="15">
        <v>736929</v>
      </c>
      <c r="H178">
        <v>3</v>
      </c>
    </row>
    <row r="179" spans="1:8" x14ac:dyDescent="0.4">
      <c r="A179" t="s">
        <v>867</v>
      </c>
      <c r="B179" s="15"/>
      <c r="C179" s="15"/>
      <c r="D179">
        <v>52</v>
      </c>
      <c r="E179" t="s">
        <v>1103</v>
      </c>
      <c r="F179" s="15">
        <v>1353000</v>
      </c>
      <c r="H179">
        <v>3</v>
      </c>
    </row>
    <row r="180" spans="1:8" x14ac:dyDescent="0.4">
      <c r="A180" t="s">
        <v>868</v>
      </c>
      <c r="B180" s="15">
        <v>15827730</v>
      </c>
      <c r="C180" s="15">
        <v>1582743</v>
      </c>
      <c r="D180">
        <v>29</v>
      </c>
      <c r="E180" s="15" t="s">
        <v>1104</v>
      </c>
      <c r="F180" s="15">
        <v>1353000</v>
      </c>
      <c r="H180">
        <v>3</v>
      </c>
    </row>
    <row r="181" spans="1:8" x14ac:dyDescent="0.4">
      <c r="A181" t="s">
        <v>869</v>
      </c>
      <c r="B181" s="15">
        <v>63464467</v>
      </c>
      <c r="C181" s="15">
        <v>6346430</v>
      </c>
      <c r="D181">
        <v>54</v>
      </c>
      <c r="E181" t="s">
        <v>1105</v>
      </c>
      <c r="H181">
        <v>0</v>
      </c>
    </row>
    <row r="182" spans="1:8" x14ac:dyDescent="0.4">
      <c r="A182" t="s">
        <v>870</v>
      </c>
      <c r="B182" s="15">
        <v>63464467</v>
      </c>
      <c r="C182" s="15">
        <v>6346430</v>
      </c>
      <c r="D182">
        <v>54</v>
      </c>
      <c r="E182" t="s">
        <v>1106</v>
      </c>
      <c r="H182">
        <v>0</v>
      </c>
    </row>
    <row r="183" spans="1:8" x14ac:dyDescent="0.4">
      <c r="A183" t="s">
        <v>871</v>
      </c>
      <c r="B183" s="15">
        <v>55733710</v>
      </c>
      <c r="C183" s="15">
        <v>5573365</v>
      </c>
      <c r="D183">
        <v>39</v>
      </c>
      <c r="E183" t="s">
        <v>1107</v>
      </c>
      <c r="F183" s="15">
        <v>166000</v>
      </c>
      <c r="H183">
        <v>1</v>
      </c>
    </row>
    <row r="184" spans="1:8" x14ac:dyDescent="0.4">
      <c r="A184" t="s">
        <v>872</v>
      </c>
      <c r="B184" s="15">
        <v>12932183</v>
      </c>
      <c r="C184" s="15">
        <v>1293213</v>
      </c>
      <c r="D184">
        <v>27</v>
      </c>
      <c r="E184" t="s">
        <v>1108</v>
      </c>
      <c r="H184">
        <v>0</v>
      </c>
    </row>
    <row r="185" spans="1:8" x14ac:dyDescent="0.4">
      <c r="A185" t="s">
        <v>873</v>
      </c>
      <c r="B185" s="15">
        <v>21857625</v>
      </c>
      <c r="C185" s="15">
        <v>2185765</v>
      </c>
      <c r="D185">
        <v>21</v>
      </c>
      <c r="E185" t="s">
        <v>1109</v>
      </c>
      <c r="H185">
        <v>0</v>
      </c>
    </row>
    <row r="186" spans="1:8" x14ac:dyDescent="0.4">
      <c r="A186" t="s">
        <v>874</v>
      </c>
      <c r="D186">
        <v>21</v>
      </c>
      <c r="E186" t="s">
        <v>1110</v>
      </c>
      <c r="F186" s="15">
        <v>912000</v>
      </c>
      <c r="H186">
        <v>3</v>
      </c>
    </row>
    <row r="187" spans="1:8" x14ac:dyDescent="0.4">
      <c r="A187" t="s">
        <v>875</v>
      </c>
      <c r="B187" s="15">
        <v>7437450</v>
      </c>
      <c r="C187" s="15">
        <v>743744</v>
      </c>
      <c r="D187">
        <v>7</v>
      </c>
      <c r="E187" t="s">
        <v>1111</v>
      </c>
      <c r="F187" s="15">
        <v>34378</v>
      </c>
      <c r="H187">
        <v>1</v>
      </c>
    </row>
    <row r="188" spans="1:8" x14ac:dyDescent="0.4">
      <c r="A188" t="s">
        <v>876</v>
      </c>
      <c r="B188" s="15">
        <v>154131519</v>
      </c>
      <c r="C188" s="15">
        <v>15413151</v>
      </c>
      <c r="D188">
        <v>62</v>
      </c>
      <c r="E188" t="s">
        <v>1112</v>
      </c>
      <c r="H188">
        <v>0</v>
      </c>
    </row>
    <row r="189" spans="1:8" x14ac:dyDescent="0.4">
      <c r="A189" t="s">
        <v>877</v>
      </c>
      <c r="B189" s="15">
        <v>154131519</v>
      </c>
      <c r="C189" s="15">
        <v>15413151</v>
      </c>
      <c r="D189">
        <v>62</v>
      </c>
      <c r="E189" t="s">
        <v>1113</v>
      </c>
      <c r="H189">
        <v>0</v>
      </c>
    </row>
    <row r="190" spans="1:8" x14ac:dyDescent="0.4">
      <c r="A190" t="s">
        <v>878</v>
      </c>
      <c r="B190" s="15">
        <v>85416952</v>
      </c>
      <c r="C190" s="15">
        <v>8540733</v>
      </c>
      <c r="D190">
        <v>60</v>
      </c>
      <c r="E190" t="s">
        <v>1114</v>
      </c>
      <c r="H190">
        <v>0</v>
      </c>
    </row>
    <row r="191" spans="1:8" x14ac:dyDescent="0.4">
      <c r="A191" t="s">
        <v>879</v>
      </c>
      <c r="B191" s="15">
        <v>52288048</v>
      </c>
      <c r="C191" s="15">
        <v>5228803</v>
      </c>
      <c r="D191">
        <v>6</v>
      </c>
      <c r="E191" t="s">
        <v>1115</v>
      </c>
      <c r="H191">
        <v>0</v>
      </c>
    </row>
    <row r="192" spans="1:8" x14ac:dyDescent="0.4">
      <c r="A192" t="s">
        <v>880</v>
      </c>
      <c r="B192" s="15">
        <v>33577202</v>
      </c>
      <c r="C192" s="15">
        <v>3357525</v>
      </c>
      <c r="D192">
        <v>51</v>
      </c>
      <c r="E192" t="s">
        <v>1116</v>
      </c>
      <c r="H192">
        <v>0</v>
      </c>
    </row>
    <row r="193" spans="1:8" x14ac:dyDescent="0.4">
      <c r="A193" t="s">
        <v>881</v>
      </c>
      <c r="D193">
        <v>51</v>
      </c>
      <c r="E193" t="s">
        <v>1117</v>
      </c>
      <c r="H193">
        <v>0</v>
      </c>
    </row>
    <row r="194" spans="1:8" x14ac:dyDescent="0.4">
      <c r="A194" t="s">
        <v>882</v>
      </c>
      <c r="D194">
        <v>51</v>
      </c>
      <c r="E194" t="s">
        <v>1118</v>
      </c>
      <c r="H194">
        <v>0</v>
      </c>
    </row>
    <row r="195" spans="1:8" x14ac:dyDescent="0.4">
      <c r="A195" t="s">
        <v>883</v>
      </c>
      <c r="D195">
        <v>51</v>
      </c>
      <c r="E195" t="s">
        <v>1119</v>
      </c>
      <c r="F195" s="15">
        <v>2249249</v>
      </c>
      <c r="H195">
        <v>6</v>
      </c>
    </row>
    <row r="196" spans="1:8" x14ac:dyDescent="0.4">
      <c r="A196" t="s">
        <v>884</v>
      </c>
      <c r="B196" s="15">
        <v>75068978</v>
      </c>
      <c r="C196" s="15">
        <v>7506894</v>
      </c>
      <c r="D196">
        <v>58</v>
      </c>
      <c r="E196" t="s">
        <v>1120</v>
      </c>
      <c r="F196" s="15">
        <v>5154791</v>
      </c>
      <c r="H196">
        <v>2</v>
      </c>
    </row>
    <row r="197" spans="1:8" x14ac:dyDescent="0.4">
      <c r="A197" t="s">
        <v>885</v>
      </c>
      <c r="B197" s="15">
        <v>49466621</v>
      </c>
      <c r="C197" s="15">
        <v>4946659</v>
      </c>
      <c r="D197">
        <v>37</v>
      </c>
      <c r="E197" t="s">
        <v>1121</v>
      </c>
      <c r="F197" s="15">
        <v>2906941</v>
      </c>
      <c r="H197">
        <v>2</v>
      </c>
    </row>
    <row r="198" spans="1:8" x14ac:dyDescent="0.4">
      <c r="A198" t="s">
        <v>886</v>
      </c>
      <c r="B198" s="15">
        <v>58492238</v>
      </c>
      <c r="C198" s="15">
        <v>5849099</v>
      </c>
      <c r="D198">
        <v>73</v>
      </c>
      <c r="E198" t="s">
        <v>1122</v>
      </c>
      <c r="H198">
        <v>2</v>
      </c>
    </row>
    <row r="199" spans="1:8" x14ac:dyDescent="0.4">
      <c r="A199" t="s">
        <v>887</v>
      </c>
      <c r="B199" s="15">
        <v>139280735</v>
      </c>
      <c r="C199" s="15">
        <v>13927873</v>
      </c>
      <c r="D199">
        <v>73</v>
      </c>
      <c r="E199" t="s">
        <v>1123</v>
      </c>
      <c r="F199" s="15">
        <v>3740857</v>
      </c>
      <c r="H199">
        <v>3</v>
      </c>
    </row>
    <row r="200" spans="1:8" x14ac:dyDescent="0.4">
      <c r="A200" t="s">
        <v>888</v>
      </c>
      <c r="B200" s="15">
        <v>31342674</v>
      </c>
      <c r="C200" s="15">
        <v>3134267</v>
      </c>
      <c r="D200">
        <v>20</v>
      </c>
      <c r="E200" t="s">
        <v>1124</v>
      </c>
      <c r="H200">
        <v>3</v>
      </c>
    </row>
    <row r="201" spans="1:8" x14ac:dyDescent="0.4">
      <c r="A201" t="s">
        <v>889</v>
      </c>
      <c r="D201">
        <v>20</v>
      </c>
      <c r="E201" t="s">
        <v>1125</v>
      </c>
      <c r="H201">
        <v>3</v>
      </c>
    </row>
    <row r="202" spans="1:8" x14ac:dyDescent="0.4">
      <c r="A202" t="s">
        <v>890</v>
      </c>
      <c r="B202" s="15">
        <v>157575948</v>
      </c>
      <c r="C202" s="15">
        <v>15757433</v>
      </c>
      <c r="D202">
        <v>86</v>
      </c>
      <c r="E202" t="s">
        <v>1126</v>
      </c>
      <c r="F202" s="15">
        <v>4393530</v>
      </c>
      <c r="H202">
        <v>3</v>
      </c>
    </row>
    <row r="203" spans="1:8" x14ac:dyDescent="0.4">
      <c r="A203" t="s">
        <v>891</v>
      </c>
      <c r="B203" s="15">
        <v>73656014</v>
      </c>
      <c r="C203" s="15">
        <v>7365597</v>
      </c>
      <c r="D203">
        <v>75</v>
      </c>
      <c r="E203" t="s">
        <v>1127</v>
      </c>
      <c r="H203">
        <v>3</v>
      </c>
    </row>
    <row r="204" spans="1:8" x14ac:dyDescent="0.4">
      <c r="A204" t="s">
        <v>892</v>
      </c>
      <c r="B204" s="15">
        <v>51242112</v>
      </c>
      <c r="C204" s="15">
        <v>5124208</v>
      </c>
      <c r="D204">
        <v>49</v>
      </c>
      <c r="E204" t="s">
        <v>1128</v>
      </c>
      <c r="F204" s="15">
        <v>3733730</v>
      </c>
      <c r="H204">
        <v>3</v>
      </c>
    </row>
    <row r="205" spans="1:8" x14ac:dyDescent="0.4">
      <c r="A205" t="s">
        <v>893</v>
      </c>
      <c r="B205" s="15">
        <v>64092756</v>
      </c>
      <c r="C205" s="15">
        <v>6409277</v>
      </c>
      <c r="D205">
        <v>68</v>
      </c>
      <c r="E205" t="s">
        <v>1129</v>
      </c>
      <c r="F205" s="15">
        <v>6763013</v>
      </c>
      <c r="H205">
        <v>6</v>
      </c>
    </row>
    <row r="206" spans="1:8" x14ac:dyDescent="0.4">
      <c r="A206" t="s">
        <v>894</v>
      </c>
      <c r="B206" s="15">
        <v>25526587</v>
      </c>
      <c r="C206" s="15">
        <v>2552656</v>
      </c>
      <c r="D206">
        <v>48</v>
      </c>
      <c r="E206" t="s">
        <v>1130</v>
      </c>
      <c r="F206" s="15">
        <v>2530192</v>
      </c>
      <c r="H206">
        <v>9</v>
      </c>
    </row>
    <row r="207" spans="1:8" x14ac:dyDescent="0.4">
      <c r="A207" t="s">
        <v>895</v>
      </c>
      <c r="B207" s="15">
        <v>19127731</v>
      </c>
      <c r="C207" s="15">
        <v>1912773</v>
      </c>
      <c r="D207">
        <v>30</v>
      </c>
      <c r="E207" t="s">
        <v>1131</v>
      </c>
      <c r="F207" s="15">
        <v>5652583</v>
      </c>
      <c r="H207">
        <v>9</v>
      </c>
    </row>
    <row r="208" spans="1:8" x14ac:dyDescent="0.4">
      <c r="A208" t="s">
        <v>896</v>
      </c>
      <c r="B208" s="15">
        <v>88257675</v>
      </c>
      <c r="C208" s="15">
        <v>8825767</v>
      </c>
      <c r="D208">
        <v>11</v>
      </c>
      <c r="E208" t="s">
        <v>1132</v>
      </c>
      <c r="H208">
        <v>0</v>
      </c>
    </row>
    <row r="209" spans="1:8" x14ac:dyDescent="0.4">
      <c r="A209" t="s">
        <v>897</v>
      </c>
      <c r="B209" s="15">
        <v>43900562</v>
      </c>
      <c r="C209" s="15">
        <v>4390059</v>
      </c>
      <c r="D209">
        <v>17</v>
      </c>
      <c r="E209" t="s">
        <v>1133</v>
      </c>
      <c r="F209" s="15">
        <v>2263160</v>
      </c>
      <c r="H209">
        <v>6</v>
      </c>
    </row>
    <row r="210" spans="1:8" x14ac:dyDescent="0.4">
      <c r="A210" t="s">
        <v>898</v>
      </c>
      <c r="B210" s="15">
        <v>69720332</v>
      </c>
      <c r="C210" s="15">
        <v>6971613</v>
      </c>
      <c r="D210">
        <v>69</v>
      </c>
      <c r="E210" t="s">
        <v>1134</v>
      </c>
      <c r="F210" s="15">
        <v>-12986480</v>
      </c>
      <c r="H210">
        <v>6</v>
      </c>
    </row>
    <row r="211" spans="1:8" x14ac:dyDescent="0.4">
      <c r="A211" t="s">
        <v>899</v>
      </c>
      <c r="B211" s="15">
        <v>69720332</v>
      </c>
      <c r="D211">
        <v>69</v>
      </c>
      <c r="E211" t="s">
        <v>1135</v>
      </c>
      <c r="F211" s="15">
        <v>-12986480</v>
      </c>
      <c r="H211">
        <v>6</v>
      </c>
    </row>
    <row r="212" spans="1:8" x14ac:dyDescent="0.4">
      <c r="A212" t="s">
        <v>900</v>
      </c>
      <c r="D212">
        <v>69</v>
      </c>
      <c r="E212" t="s">
        <v>1136</v>
      </c>
      <c r="H212">
        <v>6</v>
      </c>
    </row>
    <row r="213" spans="1:8" x14ac:dyDescent="0.4">
      <c r="A213" t="s">
        <v>901</v>
      </c>
      <c r="D213">
        <v>69</v>
      </c>
      <c r="E213" t="s">
        <v>1137</v>
      </c>
      <c r="H213">
        <v>6</v>
      </c>
    </row>
    <row r="214" spans="1:8" x14ac:dyDescent="0.4">
      <c r="A214" t="s">
        <v>902</v>
      </c>
      <c r="B214" s="15">
        <v>16768789</v>
      </c>
      <c r="C214" s="15">
        <v>1676873</v>
      </c>
      <c r="D214">
        <v>33</v>
      </c>
      <c r="E214" t="s">
        <v>1138</v>
      </c>
      <c r="F214" s="15">
        <v>7669492</v>
      </c>
      <c r="H214">
        <v>5</v>
      </c>
    </row>
    <row r="215" spans="1:8" x14ac:dyDescent="0.4">
      <c r="A215" t="s">
        <v>903</v>
      </c>
      <c r="B215" s="15">
        <v>93608312</v>
      </c>
      <c r="C215" s="15">
        <v>9360818</v>
      </c>
      <c r="D215">
        <v>85</v>
      </c>
      <c r="E215" t="s">
        <v>1139</v>
      </c>
      <c r="F215" s="15">
        <v>2654823</v>
      </c>
      <c r="H215">
        <v>3</v>
      </c>
    </row>
    <row r="216" spans="1:8" x14ac:dyDescent="0.4">
      <c r="A216" t="s">
        <v>904</v>
      </c>
      <c r="D216">
        <v>0</v>
      </c>
      <c r="E216" t="s">
        <v>1140</v>
      </c>
      <c r="H216">
        <v>0</v>
      </c>
    </row>
    <row r="217" spans="1:8" x14ac:dyDescent="0.4">
      <c r="A217" t="s">
        <v>905</v>
      </c>
      <c r="B217" s="15">
        <v>83544359</v>
      </c>
      <c r="C217" s="15">
        <v>8354432</v>
      </c>
      <c r="D217">
        <v>55</v>
      </c>
      <c r="E217" t="s">
        <v>1141</v>
      </c>
      <c r="F217" s="15">
        <v>4468907</v>
      </c>
      <c r="H217">
        <v>7</v>
      </c>
    </row>
    <row r="218" spans="1:8" x14ac:dyDescent="0.4">
      <c r="A218" t="s">
        <v>906</v>
      </c>
      <c r="B218" s="15">
        <v>89014427</v>
      </c>
      <c r="C218" s="15">
        <v>8901439</v>
      </c>
      <c r="D218">
        <v>59</v>
      </c>
      <c r="E218" t="s">
        <v>1142</v>
      </c>
      <c r="F218" s="15">
        <v>18252442</v>
      </c>
      <c r="H218">
        <v>6</v>
      </c>
    </row>
    <row r="219" spans="1:8" x14ac:dyDescent="0.4">
      <c r="A219" t="s">
        <v>907</v>
      </c>
      <c r="B219" s="15">
        <v>29562604</v>
      </c>
      <c r="C219" s="15">
        <v>2955243</v>
      </c>
      <c r="D219">
        <v>54</v>
      </c>
      <c r="E219" t="s">
        <v>1143</v>
      </c>
      <c r="F219" s="15">
        <v>141000</v>
      </c>
      <c r="H219">
        <v>2</v>
      </c>
    </row>
    <row r="220" spans="1:8" x14ac:dyDescent="0.4">
      <c r="A220" t="s">
        <v>908</v>
      </c>
      <c r="B220" s="15">
        <v>17240346</v>
      </c>
      <c r="C220" s="15">
        <v>1723969</v>
      </c>
      <c r="D220">
        <v>37</v>
      </c>
      <c r="E220" t="s">
        <v>1144</v>
      </c>
      <c r="H220">
        <v>0</v>
      </c>
    </row>
    <row r="221" spans="1:8" x14ac:dyDescent="0.4">
      <c r="A221" t="s">
        <v>909</v>
      </c>
      <c r="B221" s="15">
        <v>127760833</v>
      </c>
      <c r="C221" s="15">
        <v>12775828</v>
      </c>
      <c r="D221">
        <v>82</v>
      </c>
      <c r="E221" t="s">
        <v>1145</v>
      </c>
      <c r="H221">
        <v>0</v>
      </c>
    </row>
    <row r="222" spans="1:8" x14ac:dyDescent="0.4">
      <c r="A222" t="s">
        <v>910</v>
      </c>
      <c r="B222">
        <v>0</v>
      </c>
      <c r="C222">
        <v>0</v>
      </c>
      <c r="D222">
        <v>2</v>
      </c>
      <c r="E222" t="s">
        <v>1146</v>
      </c>
      <c r="H222">
        <v>0</v>
      </c>
    </row>
    <row r="223" spans="1:8" x14ac:dyDescent="0.4">
      <c r="A223" t="s">
        <v>911</v>
      </c>
      <c r="B223" s="15">
        <v>40416834</v>
      </c>
      <c r="C223" s="15">
        <v>4041666</v>
      </c>
      <c r="D223">
        <v>51</v>
      </c>
      <c r="E223" t="s">
        <v>1147</v>
      </c>
      <c r="F223" s="15">
        <v>3742469</v>
      </c>
      <c r="H223">
        <v>6</v>
      </c>
    </row>
    <row r="224" spans="1:8" x14ac:dyDescent="0.4">
      <c r="A224" t="s">
        <v>912</v>
      </c>
      <c r="B224" s="15">
        <v>18118851</v>
      </c>
      <c r="C224" s="15">
        <v>1811786</v>
      </c>
      <c r="D224">
        <v>31</v>
      </c>
      <c r="E224" t="s">
        <v>1148</v>
      </c>
      <c r="H224">
        <v>6</v>
      </c>
    </row>
    <row r="225" spans="1:8" x14ac:dyDescent="0.4">
      <c r="A225" t="s">
        <v>913</v>
      </c>
      <c r="B225" s="15">
        <v>26919606</v>
      </c>
      <c r="C225" s="15">
        <v>2691681</v>
      </c>
      <c r="D225">
        <v>44</v>
      </c>
      <c r="E225" t="s">
        <v>1149</v>
      </c>
      <c r="H225">
        <v>0</v>
      </c>
    </row>
    <row r="226" spans="1:8" x14ac:dyDescent="0.4">
      <c r="A226" t="s">
        <v>914</v>
      </c>
      <c r="D226">
        <v>44</v>
      </c>
      <c r="E226" t="s">
        <v>1150</v>
      </c>
      <c r="F226" s="15">
        <v>759900</v>
      </c>
      <c r="H226">
        <v>1</v>
      </c>
    </row>
    <row r="227" spans="1:8" x14ac:dyDescent="0.4">
      <c r="A227" t="s">
        <v>915</v>
      </c>
      <c r="B227" s="15">
        <v>47036250</v>
      </c>
      <c r="C227" s="15">
        <v>4703080</v>
      </c>
      <c r="D227">
        <v>55</v>
      </c>
      <c r="E227" t="s">
        <v>1151</v>
      </c>
      <c r="F227" s="15">
        <v>1659730</v>
      </c>
      <c r="H227">
        <v>5</v>
      </c>
    </row>
    <row r="228" spans="1:8" x14ac:dyDescent="0.4">
      <c r="A228" t="s">
        <v>916</v>
      </c>
      <c r="B228" s="15">
        <v>75704749</v>
      </c>
      <c r="C228" s="15">
        <v>7570472</v>
      </c>
      <c r="D228">
        <v>65</v>
      </c>
      <c r="E228" t="s">
        <v>1152</v>
      </c>
      <c r="F228" s="15">
        <v>6954189</v>
      </c>
      <c r="H228">
        <v>3</v>
      </c>
    </row>
    <row r="229" spans="1:8" x14ac:dyDescent="0.4">
      <c r="A229" t="s">
        <v>917</v>
      </c>
      <c r="B229" s="15">
        <v>24176136</v>
      </c>
      <c r="C229" s="15">
        <v>2417584</v>
      </c>
      <c r="D229">
        <v>42</v>
      </c>
      <c r="E229" t="s">
        <v>1153</v>
      </c>
      <c r="F229" s="15">
        <v>2263421</v>
      </c>
      <c r="H229">
        <v>3</v>
      </c>
    </row>
    <row r="230" spans="1:8" x14ac:dyDescent="0.4">
      <c r="A230" t="s">
        <v>918</v>
      </c>
      <c r="B230" s="15">
        <v>24363394</v>
      </c>
      <c r="C230" s="15">
        <v>2436282</v>
      </c>
      <c r="D230">
        <v>17</v>
      </c>
      <c r="E230" t="s">
        <v>1154</v>
      </c>
      <c r="H230">
        <v>0</v>
      </c>
    </row>
    <row r="231" spans="1:8" x14ac:dyDescent="0.4">
      <c r="A231" t="s">
        <v>919</v>
      </c>
      <c r="B231" s="15">
        <v>84527099</v>
      </c>
      <c r="C231" s="15">
        <v>8452709</v>
      </c>
      <c r="D231">
        <v>45</v>
      </c>
      <c r="E231" t="s">
        <v>1155</v>
      </c>
      <c r="F231" s="15">
        <v>4046116</v>
      </c>
      <c r="H231">
        <v>3</v>
      </c>
    </row>
    <row r="232" spans="1:8" x14ac:dyDescent="0.4">
      <c r="A232" t="s">
        <v>920</v>
      </c>
      <c r="B232" s="15">
        <v>91903906</v>
      </c>
      <c r="C232" s="15">
        <v>9190310</v>
      </c>
      <c r="D232">
        <v>61</v>
      </c>
      <c r="E232" t="s">
        <v>1156</v>
      </c>
      <c r="F232" s="15">
        <v>5556492</v>
      </c>
      <c r="H232">
        <v>3</v>
      </c>
    </row>
    <row r="233" spans="1:8" x14ac:dyDescent="0.4">
      <c r="A233" t="s">
        <v>921</v>
      </c>
      <c r="B233" s="15">
        <v>91903906</v>
      </c>
      <c r="C233" s="15">
        <v>9190310</v>
      </c>
      <c r="D233">
        <v>61</v>
      </c>
      <c r="E233" t="s">
        <v>1157</v>
      </c>
      <c r="H233">
        <v>3</v>
      </c>
    </row>
    <row r="234" spans="1:8" x14ac:dyDescent="0.4">
      <c r="A234" t="s">
        <v>922</v>
      </c>
      <c r="B234" s="15">
        <v>150677525</v>
      </c>
      <c r="C234" s="15">
        <v>15067405</v>
      </c>
      <c r="D234">
        <v>69</v>
      </c>
      <c r="E234" t="s">
        <v>1158</v>
      </c>
      <c r="F234" s="15">
        <v>309000</v>
      </c>
      <c r="H234">
        <v>1</v>
      </c>
    </row>
    <row r="235" spans="1:8" x14ac:dyDescent="0.4">
      <c r="A235" t="s">
        <v>923</v>
      </c>
      <c r="B235" s="15">
        <v>3289275</v>
      </c>
      <c r="C235" s="15">
        <v>328986</v>
      </c>
      <c r="D235">
        <v>12</v>
      </c>
      <c r="E235" t="s">
        <v>1159</v>
      </c>
      <c r="H235">
        <v>0</v>
      </c>
    </row>
    <row r="236" spans="1:8" x14ac:dyDescent="0.4">
      <c r="A236" t="s">
        <v>924</v>
      </c>
      <c r="B236" s="15">
        <v>112261525</v>
      </c>
      <c r="C236" s="15">
        <v>11226157</v>
      </c>
      <c r="D236">
        <v>60</v>
      </c>
      <c r="E236" t="s">
        <v>1160</v>
      </c>
      <c r="H236">
        <v>0</v>
      </c>
    </row>
    <row r="237" spans="1:8" x14ac:dyDescent="0.4">
      <c r="A237" t="s">
        <v>925</v>
      </c>
      <c r="B237" s="15">
        <v>47124460</v>
      </c>
      <c r="C237" s="15">
        <v>4712391</v>
      </c>
      <c r="D237">
        <v>45</v>
      </c>
      <c r="E237" t="s">
        <v>1161</v>
      </c>
      <c r="H237">
        <v>0</v>
      </c>
    </row>
    <row r="238" spans="1:8" x14ac:dyDescent="0.4">
      <c r="A238" t="s">
        <v>926</v>
      </c>
      <c r="B238" s="15">
        <v>47124460</v>
      </c>
      <c r="C238" s="15">
        <v>4712391</v>
      </c>
      <c r="D238">
        <v>45</v>
      </c>
      <c r="E238" t="s">
        <v>1162</v>
      </c>
      <c r="H238">
        <v>0</v>
      </c>
    </row>
    <row r="239" spans="1:8" x14ac:dyDescent="0.4">
      <c r="A239" t="s">
        <v>927</v>
      </c>
      <c r="B239" s="15">
        <v>31826325</v>
      </c>
      <c r="C239" s="15">
        <v>3182494</v>
      </c>
      <c r="D239">
        <v>64</v>
      </c>
      <c r="E239" t="s">
        <v>1163</v>
      </c>
      <c r="F239" s="15">
        <v>1823518</v>
      </c>
      <c r="H239">
        <v>7</v>
      </c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84"/>
  <sheetViews>
    <sheetView workbookViewId="0">
      <selection activeCell="C11" sqref="A11:C11"/>
    </sheetView>
  </sheetViews>
  <sheetFormatPr defaultRowHeight="17.399999999999999" x14ac:dyDescent="0.4"/>
  <cols>
    <col min="1" max="1" width="6.09765625" bestFit="1" customWidth="1"/>
    <col min="2" max="2" width="15" bestFit="1" customWidth="1"/>
    <col min="3" max="3" width="13.8984375" style="7" bestFit="1" customWidth="1"/>
    <col min="5" max="5" width="6.69921875" bestFit="1" customWidth="1"/>
    <col min="6" max="6" width="12.69921875" bestFit="1" customWidth="1"/>
  </cols>
  <sheetData>
    <row r="1" spans="1:12" x14ac:dyDescent="0.4">
      <c r="A1" s="44" t="s">
        <v>181</v>
      </c>
      <c r="B1" s="45"/>
      <c r="C1" s="45"/>
      <c r="D1" s="2"/>
      <c r="E1" s="46" t="s">
        <v>173</v>
      </c>
      <c r="F1" s="47"/>
    </row>
    <row r="2" spans="1:12" x14ac:dyDescent="0.4">
      <c r="A2" s="6" t="s">
        <v>179</v>
      </c>
      <c r="B2" s="6" t="s">
        <v>180</v>
      </c>
      <c r="C2" s="21" t="s">
        <v>172</v>
      </c>
      <c r="D2" s="2"/>
      <c r="E2" s="5" t="s">
        <v>179</v>
      </c>
      <c r="F2" s="5" t="s">
        <v>174</v>
      </c>
    </row>
    <row r="3" spans="1:12" ht="16.5" customHeight="1" x14ac:dyDescent="0.4">
      <c r="A3" t="s">
        <v>0</v>
      </c>
      <c r="B3" s="15">
        <v>1076928</v>
      </c>
      <c r="C3" s="15">
        <v>107692</v>
      </c>
      <c r="E3" t="s">
        <v>1</v>
      </c>
      <c r="F3" s="15">
        <v>7989316</v>
      </c>
      <c r="I3" s="15"/>
      <c r="J3" s="15"/>
      <c r="K3" s="15"/>
      <c r="L3" s="15"/>
    </row>
    <row r="4" spans="1:12" ht="16.5" customHeight="1" x14ac:dyDescent="0.4">
      <c r="A4" t="s">
        <v>1</v>
      </c>
      <c r="B4" s="15">
        <v>588970924</v>
      </c>
      <c r="C4" s="15">
        <v>58897089</v>
      </c>
      <c r="E4" t="s">
        <v>6</v>
      </c>
      <c r="F4" s="15">
        <v>2577479566</v>
      </c>
      <c r="I4" s="15"/>
      <c r="J4" s="15"/>
      <c r="L4" s="15"/>
    </row>
    <row r="5" spans="1:12" ht="16.5" customHeight="1" x14ac:dyDescent="0.4">
      <c r="A5" t="s">
        <v>2</v>
      </c>
      <c r="B5" s="15">
        <v>3600</v>
      </c>
      <c r="C5" s="15">
        <v>360</v>
      </c>
      <c r="E5" t="s">
        <v>7</v>
      </c>
      <c r="F5" s="15">
        <v>1525835814</v>
      </c>
      <c r="I5" s="15"/>
      <c r="J5" s="15"/>
      <c r="L5" s="15"/>
    </row>
    <row r="6" spans="1:12" ht="16.5" customHeight="1" x14ac:dyDescent="0.4">
      <c r="A6" t="s">
        <v>3</v>
      </c>
      <c r="B6" s="15">
        <v>2125694</v>
      </c>
      <c r="C6" s="15">
        <v>212570</v>
      </c>
      <c r="E6" t="s">
        <v>8</v>
      </c>
      <c r="F6" s="15">
        <v>732000</v>
      </c>
    </row>
    <row r="7" spans="1:12" ht="16.5" customHeight="1" x14ac:dyDescent="0.4">
      <c r="A7" t="s">
        <v>4</v>
      </c>
      <c r="B7" s="15">
        <v>88028064</v>
      </c>
      <c r="C7" s="15">
        <v>8802805</v>
      </c>
      <c r="E7" t="s">
        <v>11</v>
      </c>
      <c r="F7" s="15">
        <v>1802270</v>
      </c>
      <c r="I7" s="15"/>
    </row>
    <row r="8" spans="1:12" ht="16.5" customHeight="1" x14ac:dyDescent="0.4">
      <c r="A8" t="s">
        <v>5</v>
      </c>
      <c r="B8" s="15">
        <v>131106520</v>
      </c>
      <c r="C8" s="15">
        <v>13110652</v>
      </c>
      <c r="E8" t="s">
        <v>13</v>
      </c>
      <c r="F8" s="15">
        <v>5599</v>
      </c>
      <c r="I8" s="15"/>
      <c r="J8" s="15"/>
    </row>
    <row r="9" spans="1:12" ht="16.5" customHeight="1" x14ac:dyDescent="0.4">
      <c r="A9" t="s">
        <v>6</v>
      </c>
      <c r="B9" s="15">
        <v>12994051438</v>
      </c>
      <c r="C9" s="15">
        <v>1298558162</v>
      </c>
      <c r="E9" t="s">
        <v>16</v>
      </c>
      <c r="F9" s="15">
        <v>2707249</v>
      </c>
      <c r="I9" s="15"/>
      <c r="J9" s="15"/>
    </row>
    <row r="10" spans="1:12" ht="16.5" customHeight="1" x14ac:dyDescent="0.4">
      <c r="A10" t="s">
        <v>7</v>
      </c>
      <c r="B10" s="15">
        <v>166658619854</v>
      </c>
      <c r="C10" s="15">
        <v>16496536279</v>
      </c>
      <c r="E10" t="s">
        <v>21</v>
      </c>
      <c r="F10" s="15">
        <v>762451</v>
      </c>
      <c r="I10" s="15"/>
      <c r="J10" s="15"/>
    </row>
    <row r="11" spans="1:12" ht="16.5" customHeight="1" x14ac:dyDescent="0.4">
      <c r="A11" t="s">
        <v>8</v>
      </c>
      <c r="B11" s="15">
        <v>126855231</v>
      </c>
      <c r="C11" s="15">
        <v>12685537</v>
      </c>
      <c r="E11" t="s">
        <v>22</v>
      </c>
      <c r="F11" s="15">
        <v>789000</v>
      </c>
      <c r="I11" s="15"/>
      <c r="J11" s="15"/>
      <c r="K11" s="15"/>
      <c r="L11" s="15"/>
    </row>
    <row r="12" spans="1:12" ht="16.5" customHeight="1" x14ac:dyDescent="0.4">
      <c r="A12" t="s">
        <v>9</v>
      </c>
      <c r="B12" s="15">
        <v>106334334</v>
      </c>
      <c r="C12" s="15">
        <v>10633432</v>
      </c>
      <c r="E12" t="s">
        <v>23</v>
      </c>
      <c r="F12" s="15">
        <v>56354</v>
      </c>
      <c r="I12" s="15"/>
      <c r="J12" s="15"/>
      <c r="K12" s="15"/>
      <c r="L12" s="15"/>
    </row>
    <row r="13" spans="1:12" ht="16.5" customHeight="1" x14ac:dyDescent="0.4">
      <c r="A13" t="s">
        <v>10</v>
      </c>
      <c r="B13" s="15">
        <v>23268458</v>
      </c>
      <c r="C13" s="15">
        <v>2326844</v>
      </c>
      <c r="E13" t="s">
        <v>26</v>
      </c>
      <c r="F13" s="15">
        <v>12543</v>
      </c>
      <c r="I13" s="15"/>
      <c r="J13" s="15"/>
    </row>
    <row r="14" spans="1:12" ht="16.5" customHeight="1" x14ac:dyDescent="0.4">
      <c r="A14" t="s">
        <v>11</v>
      </c>
      <c r="B14" s="15">
        <v>155320910</v>
      </c>
      <c r="C14" s="15">
        <v>15532089</v>
      </c>
      <c r="E14" t="s">
        <v>27</v>
      </c>
      <c r="F14" s="15">
        <v>151844</v>
      </c>
      <c r="I14" s="15"/>
      <c r="J14" s="15"/>
    </row>
    <row r="15" spans="1:12" ht="16.5" customHeight="1" x14ac:dyDescent="0.4">
      <c r="A15" t="s">
        <v>12</v>
      </c>
      <c r="B15" s="15">
        <v>57060835</v>
      </c>
      <c r="C15" s="15">
        <v>5706083</v>
      </c>
      <c r="E15" t="s">
        <v>28</v>
      </c>
      <c r="F15" s="15">
        <v>1245504</v>
      </c>
      <c r="I15" s="15"/>
      <c r="J15" s="15"/>
      <c r="K15" s="15"/>
      <c r="L15" s="15"/>
    </row>
    <row r="16" spans="1:12" ht="16.5" customHeight="1" x14ac:dyDescent="0.4">
      <c r="A16" t="s">
        <v>13</v>
      </c>
      <c r="B16" s="15">
        <v>46175553</v>
      </c>
      <c r="C16" s="15">
        <v>4617353</v>
      </c>
      <c r="E16" t="s">
        <v>32</v>
      </c>
      <c r="F16" s="15">
        <v>18927</v>
      </c>
      <c r="I16" s="15"/>
      <c r="J16" s="15"/>
      <c r="K16" s="15"/>
    </row>
    <row r="17" spans="1:12" ht="16.5" customHeight="1" x14ac:dyDescent="0.4">
      <c r="A17" t="s">
        <v>14</v>
      </c>
      <c r="B17" s="15">
        <v>69788562</v>
      </c>
      <c r="C17" s="15">
        <v>6978854</v>
      </c>
      <c r="E17" t="s">
        <v>33</v>
      </c>
      <c r="F17" s="15">
        <v>224659</v>
      </c>
      <c r="I17" s="15"/>
      <c r="J17" s="15"/>
      <c r="K17" s="15"/>
    </row>
    <row r="18" spans="1:12" ht="16.5" customHeight="1" x14ac:dyDescent="0.4">
      <c r="A18" t="s">
        <v>15</v>
      </c>
      <c r="B18" s="15">
        <v>353245249</v>
      </c>
      <c r="C18" s="15">
        <v>35324573</v>
      </c>
      <c r="E18" t="s">
        <v>35</v>
      </c>
      <c r="F18" s="15">
        <v>3600700</v>
      </c>
      <c r="I18" s="15"/>
      <c r="J18" s="15"/>
      <c r="L18" s="15"/>
    </row>
    <row r="19" spans="1:12" ht="16.5" customHeight="1" x14ac:dyDescent="0.4">
      <c r="A19" t="s">
        <v>16</v>
      </c>
      <c r="B19" s="15">
        <v>855999496</v>
      </c>
      <c r="C19" s="15">
        <v>85599934</v>
      </c>
      <c r="E19" t="s">
        <v>38</v>
      </c>
      <c r="F19" s="15">
        <v>161672</v>
      </c>
    </row>
    <row r="20" spans="1:12" ht="16.5" customHeight="1" x14ac:dyDescent="0.4">
      <c r="A20" t="s">
        <v>17</v>
      </c>
      <c r="B20" s="15">
        <v>122431895</v>
      </c>
      <c r="C20" s="15">
        <v>12243188</v>
      </c>
      <c r="E20" t="s">
        <v>42</v>
      </c>
      <c r="F20" s="15">
        <v>3096448</v>
      </c>
      <c r="I20" s="15"/>
      <c r="J20" s="15"/>
    </row>
    <row r="21" spans="1:12" ht="16.5" customHeight="1" x14ac:dyDescent="0.4">
      <c r="A21" t="s">
        <v>18</v>
      </c>
      <c r="B21" s="15">
        <v>40433503</v>
      </c>
      <c r="C21" s="15">
        <v>4043346</v>
      </c>
      <c r="E21" t="s">
        <v>45</v>
      </c>
      <c r="F21" s="15">
        <v>1178930</v>
      </c>
      <c r="I21" s="15"/>
      <c r="J21" s="15"/>
      <c r="K21" s="15"/>
      <c r="L21" s="15"/>
    </row>
    <row r="22" spans="1:12" ht="16.5" customHeight="1" x14ac:dyDescent="0.4">
      <c r="A22" t="s">
        <v>19</v>
      </c>
      <c r="B22" s="15">
        <v>149257011</v>
      </c>
      <c r="C22" s="15">
        <v>14925699</v>
      </c>
      <c r="E22" t="s">
        <v>46</v>
      </c>
      <c r="F22" s="15">
        <v>127644</v>
      </c>
      <c r="I22" s="15"/>
      <c r="J22" s="15"/>
    </row>
    <row r="23" spans="1:12" ht="16.5" customHeight="1" x14ac:dyDescent="0.4">
      <c r="A23" t="s">
        <v>20</v>
      </c>
      <c r="B23" s="15">
        <v>1141636365</v>
      </c>
      <c r="C23" s="15">
        <v>114163635</v>
      </c>
      <c r="E23" t="s">
        <v>47</v>
      </c>
      <c r="F23" s="15">
        <v>419540</v>
      </c>
      <c r="I23" s="15"/>
      <c r="J23" s="15"/>
    </row>
    <row r="24" spans="1:12" ht="16.5" customHeight="1" x14ac:dyDescent="0.4">
      <c r="A24" t="s">
        <v>21</v>
      </c>
      <c r="B24" s="15">
        <v>79094083</v>
      </c>
      <c r="C24" s="15">
        <v>7909408</v>
      </c>
      <c r="E24" s="27" t="s">
        <v>50</v>
      </c>
      <c r="F24" s="28">
        <v>1395335</v>
      </c>
      <c r="I24" s="15"/>
      <c r="J24" s="15"/>
    </row>
    <row r="25" spans="1:12" ht="16.5" customHeight="1" x14ac:dyDescent="0.4">
      <c r="A25" t="s">
        <v>22</v>
      </c>
      <c r="B25" s="15">
        <v>216941344</v>
      </c>
      <c r="C25" s="15">
        <v>21694133</v>
      </c>
      <c r="E25" s="27" t="s">
        <v>51</v>
      </c>
      <c r="F25" s="28">
        <v>103960</v>
      </c>
    </row>
    <row r="26" spans="1:12" ht="16.5" customHeight="1" x14ac:dyDescent="0.4">
      <c r="A26" t="s">
        <v>23</v>
      </c>
      <c r="B26" s="15">
        <v>153483520</v>
      </c>
      <c r="C26" s="15">
        <v>15348351</v>
      </c>
      <c r="E26" s="27" t="s">
        <v>54</v>
      </c>
      <c r="F26" s="28">
        <v>1300263</v>
      </c>
      <c r="I26" s="15"/>
      <c r="J26" s="15"/>
    </row>
    <row r="27" spans="1:12" ht="16.5" customHeight="1" x14ac:dyDescent="0.4">
      <c r="A27" t="s">
        <v>24</v>
      </c>
      <c r="B27" s="15">
        <v>113058565</v>
      </c>
      <c r="C27" s="15">
        <v>11305855</v>
      </c>
      <c r="E27" s="27" t="s">
        <v>56</v>
      </c>
      <c r="F27" s="28">
        <v>1845271</v>
      </c>
      <c r="I27" s="15"/>
      <c r="J27" s="15"/>
      <c r="K27" s="15"/>
      <c r="L27" s="15"/>
    </row>
    <row r="28" spans="1:12" ht="16.5" customHeight="1" x14ac:dyDescent="0.4">
      <c r="A28" t="s">
        <v>25</v>
      </c>
      <c r="B28" s="15">
        <v>610064076</v>
      </c>
      <c r="C28" s="15">
        <v>61006417</v>
      </c>
      <c r="E28" s="27" t="s">
        <v>59</v>
      </c>
      <c r="F28" s="28">
        <v>4456844</v>
      </c>
      <c r="I28" s="15"/>
      <c r="J28" s="15"/>
      <c r="K28" s="15"/>
      <c r="L28" s="15"/>
    </row>
    <row r="29" spans="1:12" x14ac:dyDescent="0.4">
      <c r="A29" t="s">
        <v>26</v>
      </c>
      <c r="B29" s="15">
        <v>184527921</v>
      </c>
      <c r="C29" s="15">
        <v>18452793</v>
      </c>
      <c r="E29" s="27" t="s">
        <v>60</v>
      </c>
      <c r="F29" s="28">
        <v>919262</v>
      </c>
      <c r="I29" s="15"/>
      <c r="J29" s="15"/>
      <c r="K29" s="15"/>
      <c r="L29" s="15"/>
    </row>
    <row r="30" spans="1:12" x14ac:dyDescent="0.4">
      <c r="A30" t="s">
        <v>27</v>
      </c>
      <c r="B30" s="15">
        <v>78928346</v>
      </c>
      <c r="C30" s="15">
        <v>7892832</v>
      </c>
      <c r="E30" s="27" t="s">
        <v>61</v>
      </c>
      <c r="F30" s="28">
        <v>48310</v>
      </c>
      <c r="I30" s="15"/>
      <c r="J30" s="15"/>
    </row>
    <row r="31" spans="1:12" x14ac:dyDescent="0.4">
      <c r="A31" t="s">
        <v>28</v>
      </c>
      <c r="B31" s="15">
        <v>560229875</v>
      </c>
      <c r="C31" s="15">
        <v>56023112</v>
      </c>
      <c r="E31" s="27" t="s">
        <v>62</v>
      </c>
      <c r="F31" s="28">
        <v>450000</v>
      </c>
      <c r="I31" s="15"/>
      <c r="J31" s="15"/>
    </row>
    <row r="32" spans="1:12" x14ac:dyDescent="0.4">
      <c r="A32" t="s">
        <v>29</v>
      </c>
      <c r="B32" s="15">
        <v>111729496</v>
      </c>
      <c r="C32" s="15">
        <v>11172947</v>
      </c>
      <c r="E32" s="27" t="s">
        <v>65</v>
      </c>
      <c r="F32" s="28">
        <v>18253799</v>
      </c>
      <c r="I32" s="15"/>
      <c r="J32" s="15"/>
      <c r="K32" s="15"/>
      <c r="L32" s="15"/>
    </row>
    <row r="33" spans="1:12" x14ac:dyDescent="0.4">
      <c r="A33" t="s">
        <v>30</v>
      </c>
      <c r="B33" s="15">
        <v>252272220</v>
      </c>
      <c r="C33" s="15">
        <v>25227224</v>
      </c>
      <c r="E33" s="27" t="s">
        <v>67</v>
      </c>
      <c r="F33" s="28">
        <v>270440</v>
      </c>
      <c r="I33" s="15"/>
      <c r="J33" s="15"/>
      <c r="K33" s="15"/>
      <c r="L33" s="15"/>
    </row>
    <row r="34" spans="1:12" x14ac:dyDescent="0.4">
      <c r="A34" t="s">
        <v>31</v>
      </c>
      <c r="B34" s="15">
        <v>218709313</v>
      </c>
      <c r="C34" s="15">
        <v>21870924</v>
      </c>
      <c r="E34" s="27" t="s">
        <v>69</v>
      </c>
      <c r="F34" s="28">
        <v>145421</v>
      </c>
      <c r="I34" s="15"/>
      <c r="J34" s="15"/>
      <c r="K34" s="15"/>
      <c r="L34" s="15"/>
    </row>
    <row r="35" spans="1:12" x14ac:dyDescent="0.4">
      <c r="A35" t="s">
        <v>32</v>
      </c>
      <c r="B35" s="15">
        <v>117056752</v>
      </c>
      <c r="C35" s="15">
        <v>11705680</v>
      </c>
      <c r="E35" s="27" t="s">
        <v>72</v>
      </c>
      <c r="F35" s="28">
        <v>1108900</v>
      </c>
      <c r="I35" s="15"/>
      <c r="J35" s="15"/>
    </row>
    <row r="36" spans="1:12" x14ac:dyDescent="0.4">
      <c r="A36" t="s">
        <v>33</v>
      </c>
      <c r="B36" s="15">
        <v>48757600</v>
      </c>
      <c r="C36" s="15">
        <v>4875756</v>
      </c>
      <c r="E36" s="27" t="s">
        <v>75</v>
      </c>
      <c r="F36" s="28">
        <v>1733140</v>
      </c>
      <c r="I36" s="15"/>
      <c r="J36" s="15"/>
      <c r="L36" s="15"/>
    </row>
    <row r="37" spans="1:12" x14ac:dyDescent="0.4">
      <c r="A37" t="s">
        <v>34</v>
      </c>
      <c r="B37" s="15">
        <v>19821755</v>
      </c>
      <c r="C37" s="15">
        <v>1982171</v>
      </c>
      <c r="E37" s="27" t="s">
        <v>76</v>
      </c>
      <c r="F37" s="28">
        <v>23996027</v>
      </c>
      <c r="I37" s="15"/>
      <c r="J37" s="15"/>
      <c r="K37" s="15"/>
    </row>
    <row r="38" spans="1:12" x14ac:dyDescent="0.4">
      <c r="A38" t="s">
        <v>35</v>
      </c>
      <c r="B38" s="15">
        <v>555948523</v>
      </c>
      <c r="C38" s="15">
        <v>55594848</v>
      </c>
      <c r="E38" s="27" t="s">
        <v>77</v>
      </c>
      <c r="F38" s="28">
        <v>296860</v>
      </c>
    </row>
    <row r="39" spans="1:12" x14ac:dyDescent="0.4">
      <c r="A39" t="s">
        <v>36</v>
      </c>
      <c r="B39" s="15">
        <v>37016564</v>
      </c>
      <c r="C39" s="15">
        <v>3701656</v>
      </c>
      <c r="E39" s="27" t="s">
        <v>79</v>
      </c>
      <c r="F39" s="28">
        <v>6689250</v>
      </c>
      <c r="I39" s="15"/>
      <c r="J39" s="15"/>
      <c r="K39" s="15"/>
      <c r="L39" s="15"/>
    </row>
    <row r="40" spans="1:12" x14ac:dyDescent="0.4">
      <c r="A40" t="s">
        <v>37</v>
      </c>
      <c r="B40" s="15">
        <v>120305414</v>
      </c>
      <c r="C40" s="15">
        <v>12030534</v>
      </c>
      <c r="E40" s="27" t="s">
        <v>80</v>
      </c>
      <c r="F40" s="28">
        <v>107613</v>
      </c>
      <c r="I40" s="15"/>
      <c r="J40" s="15"/>
      <c r="K40" s="15"/>
      <c r="L40" s="15"/>
    </row>
    <row r="41" spans="1:12" x14ac:dyDescent="0.4">
      <c r="A41" t="s">
        <v>38</v>
      </c>
      <c r="B41" s="15">
        <v>265191642</v>
      </c>
      <c r="C41" s="15">
        <v>26519145</v>
      </c>
      <c r="E41" s="27" t="s">
        <v>83</v>
      </c>
      <c r="F41" s="28">
        <v>400000</v>
      </c>
      <c r="I41" s="15"/>
      <c r="J41" s="15"/>
    </row>
    <row r="42" spans="1:12" x14ac:dyDescent="0.4">
      <c r="A42" t="s">
        <v>39</v>
      </c>
      <c r="B42" s="15">
        <v>45878125</v>
      </c>
      <c r="C42" s="15">
        <v>4587810</v>
      </c>
      <c r="E42" s="27" t="s">
        <v>85</v>
      </c>
      <c r="F42" s="28">
        <v>1741555</v>
      </c>
      <c r="I42" s="15"/>
      <c r="J42" s="15"/>
      <c r="K42" s="15"/>
      <c r="L42" s="15"/>
    </row>
    <row r="43" spans="1:12" x14ac:dyDescent="0.4">
      <c r="A43" t="s">
        <v>40</v>
      </c>
      <c r="B43" s="15">
        <v>26242471</v>
      </c>
      <c r="C43" s="15">
        <v>2624246</v>
      </c>
      <c r="E43" s="27" t="s">
        <v>89</v>
      </c>
      <c r="F43" s="28">
        <v>298460</v>
      </c>
      <c r="I43" s="15"/>
      <c r="J43" s="15"/>
    </row>
    <row r="44" spans="1:12" x14ac:dyDescent="0.4">
      <c r="A44" t="s">
        <v>41</v>
      </c>
      <c r="B44" s="15">
        <v>45548415</v>
      </c>
      <c r="C44" s="15">
        <v>4554840</v>
      </c>
      <c r="E44" s="27" t="s">
        <v>95</v>
      </c>
      <c r="F44" s="28">
        <v>81990</v>
      </c>
      <c r="I44" s="15"/>
      <c r="J44" s="15"/>
    </row>
    <row r="45" spans="1:12" x14ac:dyDescent="0.4">
      <c r="A45" t="s">
        <v>42</v>
      </c>
      <c r="B45" s="15">
        <v>94118334</v>
      </c>
      <c r="C45" s="15">
        <v>9411840</v>
      </c>
      <c r="E45" s="27" t="s">
        <v>96</v>
      </c>
      <c r="F45" s="28">
        <v>298320</v>
      </c>
      <c r="I45" s="15"/>
      <c r="J45" s="15"/>
      <c r="K45" s="15"/>
      <c r="L45" s="15"/>
    </row>
    <row r="46" spans="1:12" x14ac:dyDescent="0.4">
      <c r="A46" t="s">
        <v>43</v>
      </c>
      <c r="B46" s="15">
        <v>192257504</v>
      </c>
      <c r="C46" s="15">
        <v>19225750</v>
      </c>
      <c r="E46" s="27" t="s">
        <v>97</v>
      </c>
      <c r="F46" s="28">
        <v>709596</v>
      </c>
      <c r="I46" s="15"/>
      <c r="J46" s="15"/>
    </row>
    <row r="47" spans="1:12" x14ac:dyDescent="0.4">
      <c r="A47" t="s">
        <v>44</v>
      </c>
      <c r="B47" s="15">
        <v>36091573</v>
      </c>
      <c r="C47" s="15">
        <v>3609156</v>
      </c>
      <c r="E47" s="27" t="s">
        <v>98</v>
      </c>
      <c r="F47" s="28">
        <v>44020</v>
      </c>
      <c r="I47" s="15"/>
      <c r="J47" s="15"/>
      <c r="K47" s="15"/>
    </row>
    <row r="48" spans="1:12" x14ac:dyDescent="0.4">
      <c r="A48" t="s">
        <v>45</v>
      </c>
      <c r="B48" s="15">
        <v>25586024</v>
      </c>
      <c r="C48" s="15">
        <v>2558600</v>
      </c>
      <c r="E48" s="27" t="s">
        <v>105</v>
      </c>
      <c r="F48" s="28">
        <v>483000</v>
      </c>
      <c r="I48" s="15"/>
      <c r="J48" s="15"/>
      <c r="K48" s="15"/>
      <c r="L48" s="15"/>
    </row>
    <row r="49" spans="1:12" x14ac:dyDescent="0.4">
      <c r="A49" t="s">
        <v>46</v>
      </c>
      <c r="B49" s="15">
        <v>131685745</v>
      </c>
      <c r="C49" s="15">
        <v>13168572</v>
      </c>
      <c r="E49" s="27" t="s">
        <v>109</v>
      </c>
      <c r="F49" s="28">
        <v>93726</v>
      </c>
      <c r="I49" s="15"/>
      <c r="J49" s="15"/>
    </row>
    <row r="50" spans="1:12" x14ac:dyDescent="0.4">
      <c r="A50" t="s">
        <v>47</v>
      </c>
      <c r="B50" s="15">
        <v>213045834</v>
      </c>
      <c r="C50" s="15">
        <v>21304582</v>
      </c>
      <c r="E50" s="27" t="s">
        <v>113</v>
      </c>
      <c r="F50" s="28">
        <v>194036</v>
      </c>
      <c r="I50" s="15"/>
      <c r="J50" s="15"/>
      <c r="K50" s="15"/>
      <c r="L50" s="15"/>
    </row>
    <row r="51" spans="1:12" x14ac:dyDescent="0.4">
      <c r="A51" t="s">
        <v>48</v>
      </c>
      <c r="B51" s="15">
        <v>555321097</v>
      </c>
      <c r="C51" s="15">
        <v>55532092</v>
      </c>
      <c r="E51" s="27" t="s">
        <v>117</v>
      </c>
      <c r="F51" s="28">
        <v>288000</v>
      </c>
      <c r="I51" s="15"/>
      <c r="J51" s="15"/>
      <c r="K51" s="15"/>
    </row>
    <row r="52" spans="1:12" x14ac:dyDescent="0.4">
      <c r="A52" t="s">
        <v>49</v>
      </c>
      <c r="B52" s="15">
        <v>38158525</v>
      </c>
      <c r="C52" s="15">
        <v>3815853</v>
      </c>
      <c r="E52" s="27" t="s">
        <v>119</v>
      </c>
      <c r="F52" s="28">
        <v>1369570</v>
      </c>
      <c r="I52" s="15"/>
      <c r="J52" s="15"/>
    </row>
    <row r="53" spans="1:12" x14ac:dyDescent="0.4">
      <c r="A53" t="s">
        <v>50</v>
      </c>
      <c r="B53" s="15">
        <v>868066033</v>
      </c>
      <c r="C53" s="15">
        <v>86806675</v>
      </c>
      <c r="E53" s="27" t="s">
        <v>124</v>
      </c>
      <c r="F53" s="28">
        <v>246315</v>
      </c>
      <c r="I53" s="15"/>
      <c r="J53" s="15"/>
      <c r="K53" s="15"/>
      <c r="L53" s="15"/>
    </row>
    <row r="54" spans="1:12" x14ac:dyDescent="0.4">
      <c r="A54" t="s">
        <v>51</v>
      </c>
      <c r="B54" s="15">
        <v>77811094</v>
      </c>
      <c r="C54" s="15">
        <v>7781110</v>
      </c>
      <c r="E54" s="27" t="s">
        <v>127</v>
      </c>
      <c r="F54" s="28">
        <v>431856</v>
      </c>
    </row>
    <row r="55" spans="1:12" x14ac:dyDescent="0.4">
      <c r="A55" t="s">
        <v>52</v>
      </c>
      <c r="B55" s="15">
        <v>82545657</v>
      </c>
      <c r="C55" s="15">
        <v>8254564</v>
      </c>
      <c r="E55" s="27" t="s">
        <v>131</v>
      </c>
      <c r="F55" s="28">
        <v>137347</v>
      </c>
      <c r="I55" s="15"/>
      <c r="J55" s="15"/>
      <c r="K55" s="15"/>
      <c r="L55" s="15"/>
    </row>
    <row r="56" spans="1:12" x14ac:dyDescent="0.4">
      <c r="A56" t="s">
        <v>53</v>
      </c>
      <c r="B56" s="15">
        <v>169958360</v>
      </c>
      <c r="C56" s="15">
        <v>16995835</v>
      </c>
      <c r="E56" s="27" t="s">
        <v>135</v>
      </c>
      <c r="F56" s="28">
        <v>140595</v>
      </c>
      <c r="I56" s="15"/>
      <c r="J56" s="15"/>
      <c r="K56" s="15"/>
      <c r="L56" s="15"/>
    </row>
    <row r="57" spans="1:12" x14ac:dyDescent="0.25">
      <c r="A57" t="s">
        <v>54</v>
      </c>
      <c r="B57" s="15">
        <v>358379754</v>
      </c>
      <c r="C57" s="15">
        <v>35837973</v>
      </c>
      <c r="E57" s="27" t="s">
        <v>139</v>
      </c>
      <c r="F57" s="28">
        <v>3202788</v>
      </c>
      <c r="H57" s="12"/>
      <c r="I57" s="15"/>
      <c r="J57" s="15"/>
    </row>
    <row r="58" spans="1:12" x14ac:dyDescent="0.4">
      <c r="A58" t="s">
        <v>55</v>
      </c>
      <c r="B58" s="15">
        <v>279000</v>
      </c>
      <c r="C58" s="15">
        <v>27900</v>
      </c>
      <c r="E58" s="27" t="s">
        <v>140</v>
      </c>
      <c r="F58" s="28">
        <v>273400</v>
      </c>
    </row>
    <row r="59" spans="1:12" x14ac:dyDescent="0.4">
      <c r="A59" t="s">
        <v>56</v>
      </c>
      <c r="B59" s="15">
        <v>148665661</v>
      </c>
      <c r="C59" s="15">
        <v>14866563</v>
      </c>
      <c r="E59" s="27" t="s">
        <v>141</v>
      </c>
      <c r="F59" s="28">
        <v>272290</v>
      </c>
      <c r="I59" s="15"/>
      <c r="J59" s="15"/>
      <c r="K59" s="15"/>
    </row>
    <row r="60" spans="1:12" x14ac:dyDescent="0.4">
      <c r="A60" t="s">
        <v>57</v>
      </c>
      <c r="B60" s="15">
        <v>88420419</v>
      </c>
      <c r="C60" s="15">
        <v>8842041</v>
      </c>
      <c r="E60" s="27" t="s">
        <v>142</v>
      </c>
      <c r="F60" s="28">
        <v>82800</v>
      </c>
      <c r="I60" s="15"/>
      <c r="J60" s="15"/>
      <c r="L60" s="15"/>
    </row>
    <row r="61" spans="1:12" x14ac:dyDescent="0.4">
      <c r="A61" t="s">
        <v>58</v>
      </c>
      <c r="B61" s="15">
        <v>933371772</v>
      </c>
      <c r="C61" s="15">
        <v>93337117</v>
      </c>
      <c r="E61" s="27" t="s">
        <v>143</v>
      </c>
      <c r="F61" s="28">
        <v>3137796</v>
      </c>
      <c r="I61" s="15"/>
      <c r="J61" s="15"/>
      <c r="L61" s="15"/>
    </row>
    <row r="62" spans="1:12" x14ac:dyDescent="0.4">
      <c r="A62" t="s">
        <v>59</v>
      </c>
      <c r="B62" s="15">
        <v>208510559</v>
      </c>
      <c r="C62" s="15">
        <v>20851065</v>
      </c>
      <c r="E62" s="27" t="s">
        <v>144</v>
      </c>
      <c r="F62" s="28">
        <v>3186721</v>
      </c>
      <c r="I62" s="15"/>
      <c r="J62" s="15"/>
      <c r="K62" s="15"/>
    </row>
    <row r="63" spans="1:12" x14ac:dyDescent="0.4">
      <c r="A63" t="s">
        <v>60</v>
      </c>
      <c r="B63" s="15">
        <v>57368484</v>
      </c>
      <c r="C63" s="15">
        <v>5736845</v>
      </c>
      <c r="E63" s="27" t="s">
        <v>145</v>
      </c>
      <c r="F63" s="28">
        <v>34753</v>
      </c>
      <c r="I63" s="15"/>
      <c r="J63" s="15"/>
    </row>
    <row r="64" spans="1:12" x14ac:dyDescent="0.4">
      <c r="A64" t="s">
        <v>61</v>
      </c>
      <c r="B64" s="15">
        <v>87034425</v>
      </c>
      <c r="C64" s="15">
        <v>8703439</v>
      </c>
      <c r="E64" s="27" t="s">
        <v>147</v>
      </c>
      <c r="F64" s="28">
        <v>1306176</v>
      </c>
      <c r="I64" s="15"/>
      <c r="J64" s="15"/>
      <c r="K64" s="15"/>
      <c r="L64" s="15"/>
    </row>
    <row r="65" spans="1:12" x14ac:dyDescent="0.4">
      <c r="A65" t="s">
        <v>62</v>
      </c>
      <c r="B65" s="15">
        <v>5345660</v>
      </c>
      <c r="C65" s="15">
        <v>534573</v>
      </c>
      <c r="E65" s="27" t="s">
        <v>149</v>
      </c>
      <c r="F65" s="28">
        <v>65700</v>
      </c>
      <c r="I65" s="15"/>
      <c r="J65" s="15"/>
    </row>
    <row r="66" spans="1:12" x14ac:dyDescent="0.4">
      <c r="A66" t="s">
        <v>63</v>
      </c>
      <c r="B66" s="15">
        <v>255257397</v>
      </c>
      <c r="C66" s="15">
        <v>25525738</v>
      </c>
      <c r="E66" s="27" t="s">
        <v>150</v>
      </c>
      <c r="F66" s="28">
        <v>1089430</v>
      </c>
      <c r="I66" s="15"/>
      <c r="J66" s="15"/>
      <c r="L66" s="15"/>
    </row>
    <row r="67" spans="1:12" x14ac:dyDescent="0.4">
      <c r="A67" t="s">
        <v>64</v>
      </c>
      <c r="B67" s="15">
        <v>86162465</v>
      </c>
      <c r="C67" s="15">
        <v>8616245</v>
      </c>
      <c r="E67" s="27" t="s">
        <v>151</v>
      </c>
      <c r="F67" s="28">
        <v>107688</v>
      </c>
      <c r="I67" s="15"/>
      <c r="J67" s="15"/>
      <c r="K67" s="15"/>
    </row>
    <row r="68" spans="1:12" x14ac:dyDescent="0.4">
      <c r="A68" t="s">
        <v>65</v>
      </c>
      <c r="B68" s="15">
        <v>788836096</v>
      </c>
      <c r="C68" s="15">
        <v>78883625</v>
      </c>
      <c r="E68" s="27" t="s">
        <v>152</v>
      </c>
      <c r="F68" s="15">
        <v>33399</v>
      </c>
      <c r="I68" s="15"/>
      <c r="J68" s="15"/>
      <c r="K68" s="15"/>
    </row>
    <row r="69" spans="1:12" x14ac:dyDescent="0.4">
      <c r="A69" t="s">
        <v>66</v>
      </c>
      <c r="B69" s="15">
        <v>13502373</v>
      </c>
      <c r="C69" s="15">
        <v>1350226</v>
      </c>
      <c r="E69" s="27" t="s">
        <v>155</v>
      </c>
      <c r="F69" s="15">
        <v>25311</v>
      </c>
      <c r="I69" s="15"/>
      <c r="J69" s="15"/>
      <c r="K69" s="15"/>
      <c r="L69" s="15"/>
    </row>
    <row r="70" spans="1:12" x14ac:dyDescent="0.4">
      <c r="A70" t="s">
        <v>67</v>
      </c>
      <c r="B70" s="15">
        <v>17103532</v>
      </c>
      <c r="C70" s="15">
        <v>1710352</v>
      </c>
      <c r="E70" s="27" t="s">
        <v>157</v>
      </c>
      <c r="F70" s="15">
        <v>623496</v>
      </c>
      <c r="I70" s="15"/>
      <c r="J70" s="15"/>
      <c r="K70" s="15"/>
      <c r="L70" s="15"/>
    </row>
    <row r="71" spans="1:12" x14ac:dyDescent="0.4">
      <c r="A71" t="s">
        <v>68</v>
      </c>
      <c r="B71" s="15">
        <v>27922406</v>
      </c>
      <c r="C71" s="15">
        <v>2792241</v>
      </c>
      <c r="E71" s="27" t="s">
        <v>165</v>
      </c>
      <c r="F71" s="15">
        <v>1283228</v>
      </c>
      <c r="I71" s="15"/>
      <c r="J71" s="15"/>
      <c r="L71" s="15"/>
    </row>
    <row r="72" spans="1:12" x14ac:dyDescent="0.4">
      <c r="A72" t="s">
        <v>69</v>
      </c>
      <c r="B72" s="15">
        <v>49419452</v>
      </c>
      <c r="C72" s="15">
        <v>4941945</v>
      </c>
      <c r="E72" s="27" t="s">
        <v>167</v>
      </c>
      <c r="F72" s="15">
        <v>105459</v>
      </c>
      <c r="I72" s="15"/>
      <c r="J72" s="15"/>
      <c r="L72" s="15"/>
    </row>
    <row r="73" spans="1:12" x14ac:dyDescent="0.4">
      <c r="A73" t="s">
        <v>70</v>
      </c>
      <c r="B73" s="15">
        <v>93813683</v>
      </c>
      <c r="C73" s="15">
        <v>9381367</v>
      </c>
      <c r="E73" s="27"/>
      <c r="F73" s="15">
        <v>4213307546</v>
      </c>
      <c r="I73" s="15"/>
      <c r="J73" s="15"/>
      <c r="K73" s="15"/>
    </row>
    <row r="74" spans="1:12" x14ac:dyDescent="0.4">
      <c r="A74" t="s">
        <v>71</v>
      </c>
      <c r="B74" s="15">
        <v>132412014</v>
      </c>
      <c r="C74" s="15">
        <v>13241201</v>
      </c>
      <c r="E74" s="4"/>
      <c r="I74" s="15"/>
      <c r="J74" s="15"/>
    </row>
    <row r="75" spans="1:12" x14ac:dyDescent="0.4">
      <c r="A75" t="s">
        <v>72</v>
      </c>
      <c r="B75" s="15">
        <v>75996393</v>
      </c>
      <c r="C75" s="15">
        <v>7599636</v>
      </c>
      <c r="E75" s="4"/>
      <c r="F75" s="15"/>
      <c r="I75" s="15"/>
      <c r="J75" s="15"/>
      <c r="L75" s="15"/>
    </row>
    <row r="76" spans="1:12" x14ac:dyDescent="0.4">
      <c r="A76" t="s">
        <v>73</v>
      </c>
      <c r="B76" s="15">
        <v>443564524</v>
      </c>
      <c r="C76" s="15">
        <v>44356424</v>
      </c>
      <c r="E76" s="4"/>
      <c r="I76" s="15"/>
      <c r="J76" s="15"/>
      <c r="K76" s="15"/>
    </row>
    <row r="77" spans="1:12" x14ac:dyDescent="0.4">
      <c r="A77" t="s">
        <v>74</v>
      </c>
      <c r="B77" s="15">
        <v>121017</v>
      </c>
      <c r="C77" s="15">
        <v>12101</v>
      </c>
      <c r="E77" s="4"/>
      <c r="I77" s="15"/>
      <c r="J77" s="15"/>
    </row>
    <row r="78" spans="1:12" x14ac:dyDescent="0.4">
      <c r="A78" t="s">
        <v>75</v>
      </c>
      <c r="B78" s="15">
        <v>57000878</v>
      </c>
      <c r="C78" s="15">
        <v>5700077</v>
      </c>
      <c r="E78" s="4"/>
      <c r="F78" s="15"/>
      <c r="I78" s="15"/>
      <c r="J78" s="15"/>
      <c r="K78" s="15"/>
      <c r="L78" s="15"/>
    </row>
    <row r="79" spans="1:12" x14ac:dyDescent="0.4">
      <c r="A79" t="s">
        <v>76</v>
      </c>
      <c r="B79" s="15">
        <v>1284264919</v>
      </c>
      <c r="C79" s="15">
        <v>128426488</v>
      </c>
      <c r="E79" s="4"/>
      <c r="I79" s="15"/>
      <c r="J79" s="15"/>
    </row>
    <row r="80" spans="1:12" x14ac:dyDescent="0.4">
      <c r="A80" t="s">
        <v>77</v>
      </c>
      <c r="B80" s="15">
        <v>22171818</v>
      </c>
      <c r="C80" s="15">
        <v>2217198</v>
      </c>
      <c r="E80" s="4"/>
      <c r="F80" s="15"/>
      <c r="I80" s="15"/>
      <c r="J80" s="15"/>
      <c r="L80" s="15"/>
    </row>
    <row r="81" spans="1:12" x14ac:dyDescent="0.4">
      <c r="A81" t="s">
        <v>78</v>
      </c>
      <c r="B81" s="15">
        <v>127459918</v>
      </c>
      <c r="C81" s="15">
        <v>12745993</v>
      </c>
      <c r="E81" s="4"/>
      <c r="I81" s="15"/>
      <c r="J81" s="15"/>
      <c r="K81" s="15"/>
    </row>
    <row r="82" spans="1:12" x14ac:dyDescent="0.4">
      <c r="A82" t="s">
        <v>79</v>
      </c>
      <c r="B82" s="15">
        <v>1920036796</v>
      </c>
      <c r="C82" s="15">
        <v>192003691</v>
      </c>
      <c r="E82" s="4"/>
      <c r="I82" s="15"/>
      <c r="J82" s="15"/>
    </row>
    <row r="83" spans="1:12" x14ac:dyDescent="0.4">
      <c r="A83" t="s">
        <v>80</v>
      </c>
      <c r="B83" s="15">
        <v>32194032</v>
      </c>
      <c r="C83" s="15">
        <v>3219401</v>
      </c>
      <c r="E83" s="4"/>
      <c r="F83" s="15"/>
      <c r="I83" s="15"/>
      <c r="J83" s="15"/>
      <c r="L83" s="15"/>
    </row>
    <row r="84" spans="1:12" x14ac:dyDescent="0.4">
      <c r="A84" t="s">
        <v>81</v>
      </c>
      <c r="B84" s="15">
        <v>85293800</v>
      </c>
      <c r="C84" s="15">
        <v>8529381</v>
      </c>
      <c r="E84" s="4"/>
      <c r="I84" s="15"/>
      <c r="J84" s="15"/>
    </row>
    <row r="85" spans="1:12" x14ac:dyDescent="0.4">
      <c r="A85" t="s">
        <v>82</v>
      </c>
      <c r="B85" s="15">
        <v>350969183</v>
      </c>
      <c r="C85" s="15">
        <v>35096919</v>
      </c>
      <c r="E85" s="4"/>
      <c r="I85" s="15"/>
      <c r="J85" s="15"/>
      <c r="K85" s="15"/>
    </row>
    <row r="86" spans="1:12" x14ac:dyDescent="0.4">
      <c r="A86" t="s">
        <v>83</v>
      </c>
      <c r="B86" s="15">
        <v>834474619</v>
      </c>
      <c r="C86" s="15">
        <v>83447460</v>
      </c>
      <c r="E86" s="4"/>
      <c r="I86" s="15"/>
      <c r="J86" s="15"/>
      <c r="K86" s="15"/>
    </row>
    <row r="87" spans="1:12" x14ac:dyDescent="0.4">
      <c r="A87" t="s">
        <v>84</v>
      </c>
      <c r="B87" s="15">
        <v>209790731</v>
      </c>
      <c r="C87" s="15">
        <v>20979072</v>
      </c>
      <c r="E87" s="4"/>
      <c r="F87" s="15"/>
      <c r="I87" s="15"/>
      <c r="J87" s="15"/>
      <c r="K87" s="15"/>
      <c r="L87" s="15"/>
    </row>
    <row r="88" spans="1:12" x14ac:dyDescent="0.4">
      <c r="A88" t="s">
        <v>85</v>
      </c>
      <c r="B88" s="15">
        <v>138152865</v>
      </c>
      <c r="C88" s="15">
        <v>13815281</v>
      </c>
      <c r="E88" s="4"/>
      <c r="F88" s="15"/>
      <c r="I88" s="15"/>
      <c r="J88" s="15"/>
      <c r="K88" s="15"/>
      <c r="L88" s="15"/>
    </row>
    <row r="89" spans="1:12" x14ac:dyDescent="0.4">
      <c r="A89" t="s">
        <v>86</v>
      </c>
      <c r="B89" s="15">
        <v>87584875</v>
      </c>
      <c r="C89" s="15">
        <v>8758488</v>
      </c>
      <c r="E89" s="4"/>
      <c r="F89" s="15"/>
      <c r="I89" s="15"/>
      <c r="J89" s="15"/>
      <c r="K89" s="15"/>
      <c r="L89" s="15"/>
    </row>
    <row r="90" spans="1:12" x14ac:dyDescent="0.4">
      <c r="A90" t="s">
        <v>87</v>
      </c>
      <c r="B90" s="15">
        <v>194618993</v>
      </c>
      <c r="C90" s="15">
        <v>19461893</v>
      </c>
      <c r="E90" s="4"/>
      <c r="I90" s="15"/>
      <c r="J90" s="15"/>
      <c r="K90" s="15"/>
    </row>
    <row r="91" spans="1:12" x14ac:dyDescent="0.4">
      <c r="A91" t="s">
        <v>88</v>
      </c>
      <c r="B91" s="15">
        <v>298234235</v>
      </c>
      <c r="C91" s="15">
        <v>29823426</v>
      </c>
      <c r="E91" s="4"/>
      <c r="F91" s="15"/>
      <c r="I91" s="15"/>
      <c r="J91" s="15"/>
      <c r="K91" s="15"/>
      <c r="L91" s="15"/>
    </row>
    <row r="92" spans="1:12" x14ac:dyDescent="0.4">
      <c r="A92" t="s">
        <v>89</v>
      </c>
      <c r="B92" s="15">
        <v>99654659</v>
      </c>
      <c r="C92" s="15">
        <v>9965464</v>
      </c>
      <c r="E92" s="4"/>
      <c r="F92" s="15"/>
      <c r="I92" s="15"/>
      <c r="J92" s="15"/>
      <c r="L92" s="15"/>
    </row>
    <row r="93" spans="1:12" x14ac:dyDescent="0.4">
      <c r="A93" t="s">
        <v>90</v>
      </c>
      <c r="B93" s="15">
        <v>79854853</v>
      </c>
      <c r="C93" s="15">
        <v>7985488</v>
      </c>
      <c r="E93" s="4"/>
      <c r="I93" s="15"/>
      <c r="J93" s="15"/>
    </row>
    <row r="94" spans="1:12" x14ac:dyDescent="0.4">
      <c r="A94" t="s">
        <v>91</v>
      </c>
      <c r="B94" s="15">
        <v>53499227</v>
      </c>
      <c r="C94" s="15">
        <v>5349920</v>
      </c>
      <c r="E94" s="4"/>
      <c r="I94" s="15"/>
      <c r="J94" s="15"/>
    </row>
    <row r="95" spans="1:12" x14ac:dyDescent="0.4">
      <c r="A95" t="s">
        <v>92</v>
      </c>
      <c r="B95" s="15">
        <v>48700488</v>
      </c>
      <c r="C95" s="15">
        <v>4870049</v>
      </c>
      <c r="E95" s="4"/>
      <c r="I95" s="15"/>
      <c r="J95" s="15"/>
      <c r="K95" s="15"/>
    </row>
    <row r="96" spans="1:12" x14ac:dyDescent="0.4">
      <c r="A96" t="s">
        <v>93</v>
      </c>
      <c r="B96" s="15">
        <v>85204333</v>
      </c>
      <c r="C96" s="15">
        <v>8520435</v>
      </c>
      <c r="E96" s="4"/>
      <c r="I96" s="15"/>
      <c r="J96" s="15"/>
    </row>
    <row r="97" spans="1:12" x14ac:dyDescent="0.4">
      <c r="A97" t="s">
        <v>94</v>
      </c>
      <c r="B97" s="15">
        <v>193446052</v>
      </c>
      <c r="C97" s="15">
        <v>19344605</v>
      </c>
      <c r="E97" s="4"/>
      <c r="F97" s="15"/>
      <c r="I97" s="15"/>
      <c r="J97" s="15"/>
      <c r="L97" s="15"/>
    </row>
    <row r="98" spans="1:12" x14ac:dyDescent="0.4">
      <c r="A98" t="s">
        <v>95</v>
      </c>
      <c r="B98" s="15">
        <v>100274760</v>
      </c>
      <c r="C98" s="15">
        <v>10027476</v>
      </c>
      <c r="E98" s="4"/>
      <c r="I98" s="15"/>
      <c r="J98" s="15"/>
    </row>
    <row r="99" spans="1:12" x14ac:dyDescent="0.4">
      <c r="A99" t="s">
        <v>96</v>
      </c>
      <c r="B99" s="15">
        <v>836813092</v>
      </c>
      <c r="C99" s="15">
        <v>83681316</v>
      </c>
      <c r="E99" s="4"/>
      <c r="I99" s="15"/>
      <c r="J99" s="15"/>
      <c r="K99" s="15"/>
    </row>
    <row r="100" spans="1:12" x14ac:dyDescent="0.4">
      <c r="A100" t="s">
        <v>97</v>
      </c>
      <c r="B100" s="15">
        <v>171040991</v>
      </c>
      <c r="C100" s="15">
        <v>17104100</v>
      </c>
      <c r="E100" s="4"/>
      <c r="I100" s="15"/>
      <c r="J100" s="15"/>
    </row>
    <row r="101" spans="1:12" x14ac:dyDescent="0.4">
      <c r="A101" t="s">
        <v>98</v>
      </c>
      <c r="B101" s="15">
        <v>45208134</v>
      </c>
      <c r="C101" s="15">
        <v>4520813</v>
      </c>
      <c r="E101" s="4"/>
      <c r="F101" s="15"/>
      <c r="I101" s="15"/>
      <c r="J101" s="15"/>
      <c r="L101" s="15"/>
    </row>
    <row r="102" spans="1:12" x14ac:dyDescent="0.4">
      <c r="A102" t="s">
        <v>99</v>
      </c>
      <c r="B102" s="15">
        <v>134433872</v>
      </c>
      <c r="C102" s="15">
        <v>13443387</v>
      </c>
      <c r="E102" s="4"/>
      <c r="I102" s="15"/>
      <c r="J102" s="15"/>
    </row>
    <row r="103" spans="1:12" x14ac:dyDescent="0.4">
      <c r="A103" t="s">
        <v>100</v>
      </c>
      <c r="B103" s="15">
        <v>39995029</v>
      </c>
      <c r="C103" s="15">
        <v>3999500</v>
      </c>
      <c r="E103" s="4"/>
      <c r="I103" s="15"/>
      <c r="J103" s="15"/>
    </row>
    <row r="104" spans="1:12" x14ac:dyDescent="0.4">
      <c r="A104" t="s">
        <v>101</v>
      </c>
      <c r="B104" s="15">
        <v>70193352</v>
      </c>
      <c r="C104" s="15">
        <v>7019332</v>
      </c>
      <c r="E104" s="4"/>
      <c r="I104" s="15"/>
      <c r="J104" s="15"/>
      <c r="K104" s="15"/>
    </row>
    <row r="105" spans="1:12" x14ac:dyDescent="0.4">
      <c r="A105" t="s">
        <v>102</v>
      </c>
      <c r="B105" s="15">
        <v>41179366</v>
      </c>
      <c r="C105" s="15">
        <v>4117934</v>
      </c>
      <c r="E105" s="4"/>
      <c r="I105" s="15"/>
      <c r="J105" s="15"/>
      <c r="K105" s="15"/>
    </row>
    <row r="106" spans="1:12" x14ac:dyDescent="0.4">
      <c r="A106" t="s">
        <v>103</v>
      </c>
      <c r="B106" s="15">
        <v>9989956</v>
      </c>
      <c r="C106" s="15">
        <v>998995</v>
      </c>
      <c r="E106" s="4"/>
      <c r="I106" s="15"/>
      <c r="J106" s="15"/>
      <c r="K106" s="15"/>
    </row>
    <row r="107" spans="1:12" x14ac:dyDescent="0.4">
      <c r="A107" t="s">
        <v>104</v>
      </c>
      <c r="B107" s="15">
        <v>23181871</v>
      </c>
      <c r="C107" s="15">
        <v>2318187</v>
      </c>
      <c r="E107" s="4"/>
      <c r="F107" s="15"/>
      <c r="I107" s="15"/>
      <c r="J107" s="15"/>
      <c r="L107" s="15"/>
    </row>
    <row r="108" spans="1:12" x14ac:dyDescent="0.4">
      <c r="A108" t="s">
        <v>105</v>
      </c>
      <c r="B108" s="15">
        <v>26046777</v>
      </c>
      <c r="C108" s="15">
        <v>2604679</v>
      </c>
      <c r="E108" s="4"/>
      <c r="F108" s="15"/>
      <c r="I108" s="15"/>
      <c r="J108" s="15"/>
      <c r="K108" s="15"/>
      <c r="L108" s="15"/>
    </row>
    <row r="109" spans="1:12" x14ac:dyDescent="0.4">
      <c r="A109" t="s">
        <v>106</v>
      </c>
      <c r="B109" s="15">
        <v>9475399</v>
      </c>
      <c r="C109" s="15">
        <v>947540</v>
      </c>
      <c r="E109" s="4"/>
      <c r="I109" s="15"/>
      <c r="J109" s="15"/>
      <c r="K109" s="15"/>
    </row>
    <row r="110" spans="1:12" x14ac:dyDescent="0.4">
      <c r="A110" t="s">
        <v>107</v>
      </c>
      <c r="B110" s="15">
        <v>46208791</v>
      </c>
      <c r="C110" s="15">
        <v>4620878</v>
      </c>
      <c r="E110" s="4"/>
      <c r="F110" s="15"/>
      <c r="I110" s="15"/>
      <c r="J110" s="15"/>
      <c r="K110" s="15"/>
      <c r="L110" s="15"/>
    </row>
    <row r="111" spans="1:12" x14ac:dyDescent="0.4">
      <c r="A111" t="s">
        <v>108</v>
      </c>
      <c r="B111" s="15">
        <v>967560</v>
      </c>
      <c r="C111" s="15">
        <v>96756</v>
      </c>
      <c r="E111" s="4"/>
      <c r="F111" s="15"/>
      <c r="I111" s="15"/>
      <c r="J111" s="15"/>
      <c r="L111" s="15"/>
    </row>
    <row r="112" spans="1:12" x14ac:dyDescent="0.4">
      <c r="A112" t="s">
        <v>109</v>
      </c>
      <c r="B112" s="15">
        <v>80726403</v>
      </c>
      <c r="C112" s="15">
        <v>8072641</v>
      </c>
      <c r="E112" s="4"/>
      <c r="I112" s="15"/>
      <c r="J112" s="15"/>
    </row>
    <row r="113" spans="1:12" x14ac:dyDescent="0.4">
      <c r="A113" t="s">
        <v>110</v>
      </c>
      <c r="B113" s="15">
        <v>148237951</v>
      </c>
      <c r="C113" s="15">
        <v>14823794</v>
      </c>
      <c r="E113" s="4"/>
      <c r="I113" s="15"/>
      <c r="J113" s="15"/>
    </row>
    <row r="114" spans="1:12" x14ac:dyDescent="0.4">
      <c r="A114" t="s">
        <v>111</v>
      </c>
      <c r="B114" s="15">
        <v>7792577</v>
      </c>
      <c r="C114" s="15">
        <v>779258</v>
      </c>
      <c r="E114" s="4"/>
      <c r="I114" s="15"/>
      <c r="J114" s="15"/>
    </row>
    <row r="115" spans="1:12" x14ac:dyDescent="0.4">
      <c r="A115" t="s">
        <v>112</v>
      </c>
      <c r="B115" s="15">
        <v>12134683</v>
      </c>
      <c r="C115" s="15">
        <v>1213468</v>
      </c>
      <c r="E115" s="4"/>
      <c r="I115" s="15"/>
      <c r="J115" s="15"/>
    </row>
    <row r="116" spans="1:12" x14ac:dyDescent="0.4">
      <c r="A116" t="s">
        <v>113</v>
      </c>
      <c r="B116" s="15">
        <v>49474641</v>
      </c>
      <c r="C116" s="15">
        <v>4947463</v>
      </c>
      <c r="E116" s="4"/>
      <c r="I116" s="15"/>
      <c r="J116" s="15"/>
      <c r="K116" s="15"/>
    </row>
    <row r="117" spans="1:12" x14ac:dyDescent="0.4">
      <c r="A117" t="s">
        <v>114</v>
      </c>
      <c r="B117" s="15">
        <v>14844857</v>
      </c>
      <c r="C117" s="15">
        <v>1484486</v>
      </c>
      <c r="E117" s="4"/>
      <c r="I117" s="15"/>
      <c r="J117" s="15"/>
    </row>
    <row r="118" spans="1:12" x14ac:dyDescent="0.4">
      <c r="A118" t="s">
        <v>115</v>
      </c>
      <c r="B118" s="15">
        <v>7085978</v>
      </c>
      <c r="C118" s="15">
        <v>708597</v>
      </c>
      <c r="E118" s="4"/>
      <c r="F118" s="15"/>
      <c r="I118" s="15"/>
      <c r="J118" s="15"/>
      <c r="K118" s="15"/>
      <c r="L118" s="15"/>
    </row>
    <row r="119" spans="1:12" x14ac:dyDescent="0.4">
      <c r="A119" t="s">
        <v>116</v>
      </c>
      <c r="B119" s="15">
        <v>91397047</v>
      </c>
      <c r="C119" s="15">
        <v>9139702</v>
      </c>
      <c r="E119" s="4"/>
      <c r="I119" s="15"/>
      <c r="J119" s="15"/>
    </row>
    <row r="120" spans="1:12" x14ac:dyDescent="0.4">
      <c r="A120" t="s">
        <v>117</v>
      </c>
      <c r="B120" s="15">
        <v>112890097</v>
      </c>
      <c r="C120" s="15">
        <v>11289002</v>
      </c>
      <c r="E120" s="4"/>
      <c r="I120" s="15"/>
      <c r="J120" s="15"/>
      <c r="K120" s="15"/>
    </row>
    <row r="121" spans="1:12" x14ac:dyDescent="0.4">
      <c r="A121" t="s">
        <v>118</v>
      </c>
      <c r="B121" s="15">
        <v>10499101</v>
      </c>
      <c r="C121" s="15">
        <v>1049910</v>
      </c>
      <c r="E121" s="4"/>
      <c r="I121" s="15"/>
      <c r="J121" s="15"/>
    </row>
    <row r="122" spans="1:12" x14ac:dyDescent="0.4">
      <c r="A122" t="s">
        <v>119</v>
      </c>
      <c r="B122" s="15">
        <v>211463480</v>
      </c>
      <c r="C122" s="15">
        <v>21146387</v>
      </c>
      <c r="E122" s="4"/>
      <c r="F122" s="15"/>
      <c r="I122" s="15"/>
      <c r="J122" s="15"/>
      <c r="L122" s="15"/>
    </row>
    <row r="123" spans="1:12" x14ac:dyDescent="0.4">
      <c r="A123" t="s">
        <v>120</v>
      </c>
      <c r="B123" s="15">
        <v>82927588</v>
      </c>
      <c r="C123" s="15">
        <v>8292755</v>
      </c>
      <c r="E123" s="4"/>
      <c r="I123" s="15"/>
      <c r="J123" s="15"/>
    </row>
    <row r="124" spans="1:12" x14ac:dyDescent="0.4">
      <c r="A124" t="s">
        <v>121</v>
      </c>
      <c r="B124" s="15" t="s">
        <v>209</v>
      </c>
      <c r="C124" s="15" t="s">
        <v>210</v>
      </c>
      <c r="E124" s="4"/>
      <c r="I124" s="15"/>
      <c r="J124" s="15"/>
      <c r="K124" s="15"/>
    </row>
    <row r="125" spans="1:12" x14ac:dyDescent="0.4">
      <c r="A125" t="s">
        <v>122</v>
      </c>
      <c r="B125" s="15">
        <v>76349193</v>
      </c>
      <c r="C125" s="15">
        <v>7634915</v>
      </c>
      <c r="E125" s="4"/>
      <c r="I125" s="15"/>
      <c r="J125" s="15"/>
    </row>
    <row r="126" spans="1:12" x14ac:dyDescent="0.4">
      <c r="A126" s="27" t="s">
        <v>123</v>
      </c>
      <c r="B126" s="28">
        <v>23985971</v>
      </c>
      <c r="C126" s="26">
        <v>2398597</v>
      </c>
      <c r="E126" s="4"/>
      <c r="F126" s="15"/>
      <c r="I126" s="15"/>
      <c r="J126" s="15"/>
      <c r="K126" s="15"/>
      <c r="L126" s="15"/>
    </row>
    <row r="127" spans="1:12" x14ac:dyDescent="0.4">
      <c r="A127" s="27" t="s">
        <v>124</v>
      </c>
      <c r="B127" s="28">
        <v>60280091</v>
      </c>
      <c r="C127" s="26">
        <v>6028008</v>
      </c>
      <c r="E127" s="4"/>
      <c r="I127" s="15"/>
      <c r="J127" s="15"/>
    </row>
    <row r="128" spans="1:12" x14ac:dyDescent="0.4">
      <c r="A128" s="27" t="s">
        <v>125</v>
      </c>
      <c r="B128" s="28">
        <v>10907915</v>
      </c>
      <c r="C128" s="26">
        <v>1090792</v>
      </c>
      <c r="E128" s="4"/>
      <c r="I128" s="15"/>
      <c r="J128" s="15"/>
      <c r="K128" s="15"/>
    </row>
    <row r="129" spans="1:12" x14ac:dyDescent="0.4">
      <c r="A129" s="27" t="s">
        <v>126</v>
      </c>
      <c r="B129" s="28">
        <v>79545601</v>
      </c>
      <c r="C129" s="26">
        <v>7954561</v>
      </c>
      <c r="E129" s="4"/>
      <c r="I129" s="15"/>
      <c r="J129" s="15"/>
      <c r="K129" s="15"/>
    </row>
    <row r="130" spans="1:12" x14ac:dyDescent="0.4">
      <c r="A130" s="27" t="s">
        <v>127</v>
      </c>
      <c r="B130" s="28">
        <v>121960023</v>
      </c>
      <c r="C130" s="26">
        <v>12196000</v>
      </c>
      <c r="E130" s="4"/>
      <c r="F130" s="15"/>
      <c r="I130" s="15"/>
      <c r="J130" s="15"/>
      <c r="K130" s="15"/>
      <c r="L130" s="15"/>
    </row>
    <row r="131" spans="1:12" x14ac:dyDescent="0.4">
      <c r="A131" s="27" t="s">
        <v>128</v>
      </c>
      <c r="B131" s="28">
        <v>5892286</v>
      </c>
      <c r="C131" s="26">
        <v>589229</v>
      </c>
      <c r="E131" s="4"/>
      <c r="I131" s="15"/>
      <c r="J131" s="15"/>
    </row>
    <row r="132" spans="1:12" x14ac:dyDescent="0.4">
      <c r="A132" s="27" t="s">
        <v>129</v>
      </c>
      <c r="B132" s="28">
        <v>10482958</v>
      </c>
      <c r="C132" s="26">
        <v>1048297</v>
      </c>
      <c r="E132" s="4"/>
      <c r="F132" s="15"/>
      <c r="I132" s="15"/>
      <c r="J132" s="15"/>
      <c r="L132" s="15"/>
    </row>
    <row r="133" spans="1:12" x14ac:dyDescent="0.4">
      <c r="A133" s="27" t="s">
        <v>130</v>
      </c>
      <c r="B133" s="28">
        <v>18414067</v>
      </c>
      <c r="C133" s="26">
        <v>1841407</v>
      </c>
      <c r="E133" s="4"/>
      <c r="I133" s="15"/>
      <c r="J133" s="15"/>
    </row>
    <row r="134" spans="1:12" x14ac:dyDescent="0.4">
      <c r="A134" s="27" t="s">
        <v>131</v>
      </c>
      <c r="B134" s="28">
        <v>176727895</v>
      </c>
      <c r="C134" s="26">
        <v>17672789</v>
      </c>
      <c r="E134" s="4"/>
      <c r="F134" s="15"/>
      <c r="I134" s="15"/>
      <c r="J134" s="15"/>
      <c r="L134" s="15"/>
    </row>
    <row r="135" spans="1:12" x14ac:dyDescent="0.4">
      <c r="A135" s="27" t="s">
        <v>132</v>
      </c>
      <c r="B135" s="28">
        <v>12308737</v>
      </c>
      <c r="C135" s="26">
        <v>1230872</v>
      </c>
      <c r="E135" s="4"/>
      <c r="I135" s="15"/>
      <c r="J135" s="15"/>
    </row>
    <row r="136" spans="1:12" x14ac:dyDescent="0.4">
      <c r="A136" s="27" t="s">
        <v>133</v>
      </c>
      <c r="B136" s="28">
        <v>160908092</v>
      </c>
      <c r="C136" s="26">
        <v>16090809</v>
      </c>
      <c r="E136" s="4"/>
      <c r="I136" s="15"/>
      <c r="J136" s="15"/>
      <c r="K136" s="15"/>
    </row>
    <row r="137" spans="1:12" x14ac:dyDescent="0.4">
      <c r="A137" s="27" t="s">
        <v>134</v>
      </c>
      <c r="B137" s="28">
        <v>257124012</v>
      </c>
      <c r="C137" s="26">
        <v>25712402</v>
      </c>
      <c r="E137" s="4"/>
      <c r="I137" s="15"/>
      <c r="J137" s="15"/>
    </row>
    <row r="138" spans="1:12" x14ac:dyDescent="0.4">
      <c r="A138" s="27" t="s">
        <v>135</v>
      </c>
      <c r="B138" s="28">
        <v>40732813</v>
      </c>
      <c r="C138" s="26">
        <v>4073274</v>
      </c>
      <c r="E138" s="4"/>
      <c r="F138" s="15"/>
      <c r="I138" s="15"/>
      <c r="J138" s="15"/>
      <c r="L138" s="15"/>
    </row>
    <row r="139" spans="1:12" x14ac:dyDescent="0.4">
      <c r="A139" s="27" t="s">
        <v>136</v>
      </c>
      <c r="B139" s="28">
        <v>14215650</v>
      </c>
      <c r="C139" s="26">
        <v>1421554</v>
      </c>
      <c r="E139" s="4"/>
      <c r="I139" s="15"/>
      <c r="J139" s="15"/>
      <c r="K139" s="15"/>
    </row>
    <row r="140" spans="1:12" x14ac:dyDescent="0.4">
      <c r="A140" s="27" t="s">
        <v>137</v>
      </c>
      <c r="B140" s="28">
        <v>55095057</v>
      </c>
      <c r="C140" s="26">
        <v>5509504</v>
      </c>
      <c r="E140" s="4"/>
      <c r="I140" s="15"/>
      <c r="J140" s="15"/>
    </row>
    <row r="141" spans="1:12" x14ac:dyDescent="0.4">
      <c r="A141" s="27" t="s">
        <v>138</v>
      </c>
      <c r="B141" s="28">
        <v>5035083</v>
      </c>
      <c r="C141" s="26">
        <v>503508</v>
      </c>
      <c r="E141" s="4"/>
      <c r="F141" s="15"/>
      <c r="I141" s="15"/>
      <c r="J141" s="15"/>
      <c r="L141" s="15"/>
    </row>
    <row r="142" spans="1:12" x14ac:dyDescent="0.4">
      <c r="A142" s="27" t="s">
        <v>139</v>
      </c>
      <c r="B142" s="28">
        <v>56847673</v>
      </c>
      <c r="C142" s="26">
        <v>5684765</v>
      </c>
      <c r="E142" s="4"/>
      <c r="I142" s="15"/>
      <c r="J142" s="15"/>
    </row>
    <row r="143" spans="1:12" x14ac:dyDescent="0.4">
      <c r="A143" s="27" t="s">
        <v>140</v>
      </c>
      <c r="B143" s="28">
        <v>41471650</v>
      </c>
      <c r="C143" s="26">
        <v>4147167</v>
      </c>
      <c r="E143" s="4"/>
      <c r="I143" s="15"/>
      <c r="J143" s="15"/>
      <c r="K143" s="15"/>
    </row>
    <row r="144" spans="1:12" x14ac:dyDescent="0.4">
      <c r="A144" s="27" t="s">
        <v>141</v>
      </c>
      <c r="B144" s="28">
        <v>115331654</v>
      </c>
      <c r="C144" s="26">
        <v>11533165</v>
      </c>
      <c r="E144" s="4"/>
      <c r="I144" s="15"/>
      <c r="J144" s="15"/>
      <c r="K144" s="15"/>
    </row>
    <row r="145" spans="1:12" x14ac:dyDescent="0.4">
      <c r="A145" s="27" t="s">
        <v>142</v>
      </c>
      <c r="B145" s="28">
        <v>73910128</v>
      </c>
      <c r="C145" s="26">
        <v>7391011</v>
      </c>
      <c r="E145" s="4"/>
      <c r="F145" s="15"/>
      <c r="I145" s="15"/>
      <c r="J145" s="15"/>
      <c r="K145" s="15"/>
      <c r="L145" s="15"/>
    </row>
    <row r="146" spans="1:12" x14ac:dyDescent="0.4">
      <c r="A146" s="27" t="s">
        <v>143</v>
      </c>
      <c r="B146" s="28">
        <v>31327009</v>
      </c>
      <c r="C146" s="26">
        <v>3132704</v>
      </c>
      <c r="E146" s="4"/>
      <c r="I146" s="15"/>
      <c r="J146" s="15"/>
    </row>
    <row r="147" spans="1:12" x14ac:dyDescent="0.4">
      <c r="A147" s="27" t="s">
        <v>144</v>
      </c>
      <c r="B147" s="28">
        <v>106261859</v>
      </c>
      <c r="C147" s="26">
        <v>10626185</v>
      </c>
      <c r="E147" s="4"/>
      <c r="I147" s="15"/>
      <c r="J147" s="15"/>
      <c r="K147" s="15"/>
    </row>
    <row r="148" spans="1:12" x14ac:dyDescent="0.4">
      <c r="A148" s="27" t="s">
        <v>145</v>
      </c>
      <c r="B148" s="28">
        <v>68921669</v>
      </c>
      <c r="C148" s="26">
        <v>6892166</v>
      </c>
      <c r="E148" s="4"/>
      <c r="I148" s="15"/>
      <c r="J148" s="15"/>
    </row>
    <row r="149" spans="1:12" x14ac:dyDescent="0.4">
      <c r="A149" s="27" t="s">
        <v>146</v>
      </c>
      <c r="B149" s="28">
        <v>30174591</v>
      </c>
      <c r="C149" s="26">
        <v>3017459</v>
      </c>
      <c r="E149" s="4"/>
      <c r="F149" s="15"/>
      <c r="I149" s="15"/>
      <c r="J149" s="15"/>
      <c r="L149" s="15"/>
    </row>
    <row r="150" spans="1:12" x14ac:dyDescent="0.4">
      <c r="A150" s="27" t="s">
        <v>147</v>
      </c>
      <c r="B150" s="28">
        <v>68386796</v>
      </c>
      <c r="C150" s="26">
        <v>6838675</v>
      </c>
      <c r="E150" s="4"/>
      <c r="I150" s="15"/>
      <c r="J150" s="15"/>
    </row>
    <row r="151" spans="1:12" x14ac:dyDescent="0.4">
      <c r="A151" s="27" t="s">
        <v>148</v>
      </c>
      <c r="B151" s="28">
        <v>41468991</v>
      </c>
      <c r="C151" s="26">
        <v>4146898</v>
      </c>
      <c r="E151" s="4"/>
      <c r="I151" s="15"/>
      <c r="J151" s="15"/>
      <c r="K151" s="15"/>
    </row>
    <row r="152" spans="1:12" x14ac:dyDescent="0.4">
      <c r="A152" s="27" t="s">
        <v>149</v>
      </c>
      <c r="B152" s="28">
        <v>29532164</v>
      </c>
      <c r="C152" s="26">
        <v>2953216</v>
      </c>
      <c r="E152" s="4"/>
      <c r="I152" s="15"/>
      <c r="J152" s="15"/>
      <c r="K152" s="15"/>
    </row>
    <row r="153" spans="1:12" x14ac:dyDescent="0.4">
      <c r="A153" s="27" t="s">
        <v>150</v>
      </c>
      <c r="B153" s="28">
        <v>84325591</v>
      </c>
      <c r="C153" s="26">
        <v>8432564</v>
      </c>
      <c r="E153" s="4"/>
      <c r="F153" s="15"/>
      <c r="I153" s="15"/>
      <c r="J153" s="15"/>
      <c r="K153" s="15"/>
      <c r="L153" s="15"/>
    </row>
    <row r="154" spans="1:12" x14ac:dyDescent="0.4">
      <c r="A154" s="27" t="s">
        <v>151</v>
      </c>
      <c r="B154" s="28">
        <v>33291042</v>
      </c>
      <c r="C154" s="26">
        <v>3329107</v>
      </c>
      <c r="E154" s="4"/>
      <c r="F154" s="15"/>
      <c r="I154" s="15"/>
      <c r="J154" s="15"/>
      <c r="K154" s="15"/>
      <c r="L154" s="15"/>
    </row>
    <row r="155" spans="1:12" x14ac:dyDescent="0.4">
      <c r="A155" s="27" t="s">
        <v>152</v>
      </c>
      <c r="B155" s="28">
        <v>51313045</v>
      </c>
      <c r="C155" s="26">
        <v>5131303</v>
      </c>
      <c r="E155" s="4"/>
      <c r="F155" s="15"/>
      <c r="I155" s="15"/>
      <c r="J155" s="15"/>
      <c r="K155" s="15"/>
      <c r="L155" s="15"/>
    </row>
    <row r="156" spans="1:12" x14ac:dyDescent="0.4">
      <c r="A156" s="27" t="s">
        <v>153</v>
      </c>
      <c r="B156" s="28">
        <v>74013377</v>
      </c>
      <c r="C156" s="26">
        <v>7401337</v>
      </c>
      <c r="E156" s="4"/>
      <c r="F156" s="15"/>
      <c r="I156" s="15"/>
      <c r="J156" s="15"/>
      <c r="K156" s="15"/>
      <c r="L156" s="15"/>
    </row>
    <row r="157" spans="1:12" x14ac:dyDescent="0.4">
      <c r="A157" s="27" t="s">
        <v>154</v>
      </c>
      <c r="B157" s="28">
        <v>714386549</v>
      </c>
      <c r="C157" s="26">
        <v>71438634</v>
      </c>
      <c r="E157" s="4"/>
      <c r="F157" s="15"/>
      <c r="I157" s="15"/>
      <c r="J157" s="15"/>
      <c r="K157" s="15"/>
      <c r="L157" s="15"/>
    </row>
    <row r="158" spans="1:12" x14ac:dyDescent="0.4">
      <c r="A158" s="27" t="s">
        <v>155</v>
      </c>
      <c r="B158" s="28">
        <v>112048874</v>
      </c>
      <c r="C158" s="26">
        <v>11204888</v>
      </c>
      <c r="E158" s="4"/>
      <c r="F158" s="15"/>
      <c r="I158" s="15"/>
      <c r="J158" s="15"/>
      <c r="L158" s="15"/>
    </row>
    <row r="159" spans="1:12" x14ac:dyDescent="0.4">
      <c r="A159" s="27" t="s">
        <v>156</v>
      </c>
      <c r="B159" s="28">
        <v>0</v>
      </c>
      <c r="C159" s="26">
        <v>0</v>
      </c>
      <c r="E159" s="4"/>
      <c r="F159" s="15"/>
      <c r="I159" s="15"/>
      <c r="J159" s="15"/>
      <c r="K159" s="15"/>
      <c r="L159" s="15"/>
    </row>
    <row r="160" spans="1:12" x14ac:dyDescent="0.4">
      <c r="A160" s="27" t="s">
        <v>157</v>
      </c>
      <c r="B160" s="28">
        <v>16400521</v>
      </c>
      <c r="C160" s="26">
        <v>1640049</v>
      </c>
      <c r="E160" s="4"/>
      <c r="I160" s="15"/>
      <c r="J160" s="15"/>
    </row>
    <row r="161" spans="1:12" x14ac:dyDescent="0.4">
      <c r="A161" s="27" t="s">
        <v>158</v>
      </c>
      <c r="B161" s="28">
        <v>3822943</v>
      </c>
      <c r="C161" s="26">
        <v>382293</v>
      </c>
      <c r="E161" s="4"/>
      <c r="F161" s="15"/>
      <c r="I161" s="15"/>
      <c r="J161" s="15"/>
      <c r="K161" s="15"/>
      <c r="L161" s="15"/>
    </row>
    <row r="162" spans="1:12" x14ac:dyDescent="0.4">
      <c r="A162" s="27" t="s">
        <v>159</v>
      </c>
      <c r="B162" s="28">
        <v>11858881</v>
      </c>
      <c r="C162" s="26">
        <v>1185887</v>
      </c>
      <c r="E162" s="4"/>
      <c r="I162" s="15"/>
      <c r="J162" s="15"/>
      <c r="K162" s="15"/>
    </row>
    <row r="163" spans="1:12" x14ac:dyDescent="0.4">
      <c r="A163" s="27" t="s">
        <v>160</v>
      </c>
      <c r="B163" s="28">
        <v>97285843</v>
      </c>
      <c r="C163" s="26">
        <v>9728584</v>
      </c>
      <c r="E163" s="4"/>
      <c r="F163" s="15"/>
      <c r="I163" s="15"/>
      <c r="J163" s="15"/>
      <c r="K163" s="15"/>
      <c r="L163" s="15"/>
    </row>
    <row r="164" spans="1:12" x14ac:dyDescent="0.4">
      <c r="A164" s="27" t="s">
        <v>161</v>
      </c>
      <c r="B164" s="28">
        <v>27524445</v>
      </c>
      <c r="C164" s="26">
        <v>2752445</v>
      </c>
      <c r="E164" s="4"/>
      <c r="F164" s="15"/>
      <c r="I164" s="15"/>
      <c r="J164" s="15"/>
      <c r="K164" s="15"/>
      <c r="L164" s="15"/>
    </row>
    <row r="165" spans="1:12" x14ac:dyDescent="0.4">
      <c r="A165" s="27" t="s">
        <v>162</v>
      </c>
      <c r="B165" s="28">
        <v>211415102</v>
      </c>
      <c r="C165" s="26">
        <v>21141510</v>
      </c>
      <c r="E165" s="4"/>
      <c r="F165" s="15"/>
      <c r="I165" s="15"/>
      <c r="J165" s="15"/>
      <c r="L165" s="15"/>
    </row>
    <row r="166" spans="1:12" x14ac:dyDescent="0.4">
      <c r="A166" s="27" t="s">
        <v>163</v>
      </c>
      <c r="B166" s="28">
        <v>195742472</v>
      </c>
      <c r="C166" s="26">
        <v>19574319</v>
      </c>
      <c r="E166" s="4"/>
      <c r="F166" s="15"/>
      <c r="I166" s="15"/>
      <c r="J166" s="15"/>
      <c r="L166" s="15"/>
    </row>
    <row r="167" spans="1:12" x14ac:dyDescent="0.4">
      <c r="A167" s="27" t="s">
        <v>164</v>
      </c>
      <c r="B167" s="28">
        <v>49091075</v>
      </c>
      <c r="C167" s="26">
        <v>4909107</v>
      </c>
      <c r="E167" s="4"/>
      <c r="I167" s="15"/>
      <c r="J167" s="15"/>
      <c r="K167" s="15"/>
    </row>
    <row r="168" spans="1:12" x14ac:dyDescent="0.4">
      <c r="A168" s="27" t="s">
        <v>165</v>
      </c>
      <c r="B168" s="28">
        <v>1259445870</v>
      </c>
      <c r="C168" s="26">
        <v>119701818</v>
      </c>
      <c r="E168" s="4"/>
      <c r="I168" s="15"/>
      <c r="J168" s="15"/>
    </row>
    <row r="169" spans="1:12" x14ac:dyDescent="0.4">
      <c r="A169" s="27" t="s">
        <v>166</v>
      </c>
      <c r="B169" s="15">
        <v>167298301</v>
      </c>
      <c r="C169" s="15">
        <v>16729829</v>
      </c>
      <c r="E169" s="4"/>
      <c r="F169" s="15"/>
      <c r="I169" s="15"/>
      <c r="J169" s="15"/>
      <c r="K169" s="15"/>
      <c r="L169" s="15"/>
    </row>
    <row r="170" spans="1:12" x14ac:dyDescent="0.4">
      <c r="A170" s="27" t="s">
        <v>167</v>
      </c>
      <c r="B170" s="15">
        <v>1685043023</v>
      </c>
      <c r="C170" s="15">
        <v>168504307</v>
      </c>
      <c r="E170" s="4"/>
      <c r="I170" s="15"/>
      <c r="J170" s="15"/>
    </row>
    <row r="171" spans="1:12" x14ac:dyDescent="0.4">
      <c r="A171" s="27" t="s">
        <v>168</v>
      </c>
      <c r="B171" s="15">
        <v>441944632</v>
      </c>
      <c r="C171" s="15">
        <v>44194462</v>
      </c>
      <c r="E171" s="4"/>
      <c r="F171" s="15"/>
      <c r="I171" s="15"/>
      <c r="J171" s="15"/>
      <c r="L171" s="15"/>
    </row>
    <row r="172" spans="1:12" x14ac:dyDescent="0.4">
      <c r="A172" s="27" t="s">
        <v>200</v>
      </c>
      <c r="B172" s="15">
        <v>183668528</v>
      </c>
      <c r="C172" s="15">
        <v>18366852</v>
      </c>
      <c r="E172" s="4"/>
      <c r="I172" s="15"/>
      <c r="J172" s="15"/>
    </row>
    <row r="173" spans="1:12" x14ac:dyDescent="0.4">
      <c r="A173" s="27" t="s">
        <v>201</v>
      </c>
      <c r="B173" s="15">
        <v>118096269</v>
      </c>
      <c r="C173" s="15">
        <v>11809626</v>
      </c>
      <c r="E173" s="4"/>
      <c r="I173" s="15"/>
      <c r="J173" s="15"/>
    </row>
    <row r="174" spans="1:12" x14ac:dyDescent="0.4">
      <c r="A174" s="27"/>
      <c r="B174" s="15">
        <v>209847431270</v>
      </c>
      <c r="C174" s="15">
        <v>20808327572</v>
      </c>
      <c r="E174" s="4"/>
      <c r="I174" s="15"/>
      <c r="J174" s="15"/>
    </row>
    <row r="175" spans="1:12" x14ac:dyDescent="0.4">
      <c r="A175" s="4"/>
      <c r="B175" s="15"/>
      <c r="C175" s="15"/>
      <c r="E175" s="4"/>
      <c r="I175" s="15"/>
      <c r="J175" s="15"/>
    </row>
    <row r="176" spans="1:12" x14ac:dyDescent="0.4">
      <c r="A176" s="4"/>
      <c r="B176" s="15"/>
      <c r="C176" s="15"/>
      <c r="E176" s="4"/>
      <c r="I176" s="15"/>
      <c r="J176" s="15"/>
    </row>
    <row r="177" spans="1:12" x14ac:dyDescent="0.4">
      <c r="A177" s="4"/>
      <c r="B177" s="15"/>
      <c r="C177" s="15"/>
      <c r="E177" s="4"/>
      <c r="I177" s="15"/>
      <c r="J177" s="15"/>
      <c r="K177" s="15"/>
    </row>
    <row r="178" spans="1:12" x14ac:dyDescent="0.4">
      <c r="A178" s="4"/>
      <c r="B178" s="15"/>
      <c r="C178" s="15"/>
      <c r="E178" s="4"/>
      <c r="I178" s="15"/>
      <c r="J178" s="15"/>
    </row>
    <row r="179" spans="1:12" x14ac:dyDescent="0.4">
      <c r="A179" s="4"/>
      <c r="B179" s="15"/>
      <c r="C179" s="15"/>
      <c r="E179" s="4"/>
      <c r="I179" s="15"/>
      <c r="J179" s="15"/>
      <c r="K179" s="15"/>
    </row>
    <row r="180" spans="1:12" x14ac:dyDescent="0.4">
      <c r="A180" s="4"/>
      <c r="B180" s="15"/>
      <c r="C180" s="15"/>
      <c r="E180" s="4"/>
      <c r="I180" s="15"/>
      <c r="J180" s="15"/>
    </row>
    <row r="181" spans="1:12" x14ac:dyDescent="0.4">
      <c r="A181" s="4"/>
      <c r="B181" s="15"/>
      <c r="C181" s="15"/>
      <c r="E181" s="4"/>
      <c r="F181" s="15"/>
      <c r="I181" s="15"/>
      <c r="J181" s="15"/>
      <c r="L181" s="15"/>
    </row>
    <row r="182" spans="1:12" x14ac:dyDescent="0.4">
      <c r="A182" s="4"/>
      <c r="B182" s="15"/>
      <c r="C182" s="15"/>
      <c r="E182" s="4"/>
      <c r="I182" s="15"/>
      <c r="J182" s="15"/>
    </row>
    <row r="183" spans="1:12" x14ac:dyDescent="0.25">
      <c r="A183" s="12"/>
      <c r="E183" s="12"/>
    </row>
    <row r="184" spans="1:12" x14ac:dyDescent="0.25">
      <c r="A184" s="12"/>
      <c r="E184" s="12"/>
    </row>
  </sheetData>
  <mergeCells count="2">
    <mergeCell ref="A1:C1"/>
    <mergeCell ref="E1:F1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R243"/>
  <sheetViews>
    <sheetView topLeftCell="A142" workbookViewId="0">
      <selection activeCell="B158" sqref="B158"/>
    </sheetView>
  </sheetViews>
  <sheetFormatPr defaultRowHeight="17.399999999999999" x14ac:dyDescent="0.25"/>
  <cols>
    <col min="1" max="1" width="13.59765625" bestFit="1" customWidth="1"/>
    <col min="2" max="2" width="10.3984375" bestFit="1" customWidth="1"/>
    <col min="3" max="3" width="38.3984375" style="1" bestFit="1" customWidth="1"/>
    <col min="4" max="4" width="13.59765625" style="1" bestFit="1" customWidth="1"/>
    <col min="8" max="8" width="16.5" style="7" bestFit="1" customWidth="1"/>
    <col min="9" max="9" width="15.3984375" style="7" bestFit="1" customWidth="1"/>
    <col min="10" max="10" width="14.3984375" style="7" bestFit="1" customWidth="1"/>
    <col min="11" max="11" width="15.3984375" style="7" bestFit="1" customWidth="1"/>
    <col min="12" max="12" width="14.3984375" style="7" bestFit="1" customWidth="1"/>
    <col min="13" max="13" width="13.8984375" style="7" bestFit="1" customWidth="1"/>
    <col min="14" max="14" width="16.5" bestFit="1" customWidth="1"/>
    <col min="15" max="15" width="15.3984375" bestFit="1" customWidth="1"/>
    <col min="16" max="16" width="14.3984375" bestFit="1" customWidth="1"/>
    <col min="17" max="17" width="27.59765625" bestFit="1" customWidth="1"/>
    <col min="18" max="18" width="23.8984375" bestFit="1" customWidth="1"/>
  </cols>
  <sheetData>
    <row r="2" spans="2:18" x14ac:dyDescent="0.25">
      <c r="B2" s="3"/>
      <c r="C2" s="8"/>
      <c r="D2" s="8"/>
      <c r="E2" s="3"/>
      <c r="F2" s="3"/>
      <c r="G2" s="3"/>
      <c r="H2" s="46" t="s">
        <v>176</v>
      </c>
      <c r="I2" s="46"/>
      <c r="J2" s="46"/>
      <c r="K2" s="46" t="s">
        <v>177</v>
      </c>
      <c r="L2" s="46"/>
      <c r="M2" s="46"/>
      <c r="N2" s="46" t="s">
        <v>178</v>
      </c>
      <c r="O2" s="46"/>
      <c r="P2" s="46"/>
      <c r="Q2" s="3"/>
      <c r="R2" s="3"/>
    </row>
    <row r="3" spans="2:18" ht="18" thickBot="1" x14ac:dyDescent="0.45">
      <c r="B3" s="33" t="s">
        <v>215</v>
      </c>
      <c r="C3" s="34" t="s">
        <v>216</v>
      </c>
      <c r="D3" s="35">
        <v>5148601083</v>
      </c>
      <c r="E3" s="4" t="str">
        <f>LEFT(D3,3)</f>
        <v>514</v>
      </c>
      <c r="F3" s="4" t="str">
        <f>MID(D3,4,2)</f>
        <v>86</v>
      </c>
      <c r="G3" s="4" t="str">
        <f>RIGHT(D3,5)</f>
        <v>01083</v>
      </c>
      <c r="H3" s="13">
        <f>IFERROR(VLOOKUP($B3,'SAP 금액'!$A:$C,2,0),0)</f>
        <v>0</v>
      </c>
      <c r="I3" s="13">
        <f>IFERROR(VLOOKUP($B3,'SAP 금액'!$A:$C,3,0),0)</f>
        <v>0</v>
      </c>
      <c r="J3" s="13">
        <f>IFERROR(VLOOKUP(B3,'SAP 금액'!E:F,2,0),0)</f>
        <v>0</v>
      </c>
      <c r="K3" s="13" t="e">
        <f>VLOOKUP($B3,'국세청 금액'!$A:$C,2,0)</f>
        <v>#N/A</v>
      </c>
      <c r="L3" s="13" t="e">
        <f>VLOOKUP($B3,'국세청 금액'!$A:$C,3,0)</f>
        <v>#N/A</v>
      </c>
      <c r="M3" s="13" t="e">
        <f>VLOOKUP(B3,'국세청 금액'!E:F,2,0)</f>
        <v>#N/A</v>
      </c>
      <c r="N3" s="14" t="e">
        <f>K3-H3</f>
        <v>#N/A</v>
      </c>
      <c r="O3" s="14" t="e">
        <f>L3-I3</f>
        <v>#N/A</v>
      </c>
      <c r="P3" s="14" t="e">
        <f>M3-J3</f>
        <v>#N/A</v>
      </c>
      <c r="Q3" s="4" t="e">
        <f>AND(N3&lt;&gt;0,O3&lt;&gt;0)</f>
        <v>#N/A</v>
      </c>
      <c r="R3" s="4" t="e">
        <f>AND(O3&lt;&gt;0,P3&lt;&gt;0)</f>
        <v>#N/A</v>
      </c>
    </row>
    <row r="4" spans="2:18" ht="18" thickBot="1" x14ac:dyDescent="0.4">
      <c r="B4" s="10" t="s">
        <v>194</v>
      </c>
      <c r="C4" s="10" t="s">
        <v>195</v>
      </c>
      <c r="D4" s="10" t="s">
        <v>169</v>
      </c>
      <c r="E4" s="9" t="s">
        <v>170</v>
      </c>
      <c r="F4" s="9" t="s">
        <v>171</v>
      </c>
      <c r="G4" s="10" t="s">
        <v>182</v>
      </c>
      <c r="H4" s="11" t="s">
        <v>183</v>
      </c>
      <c r="I4" s="11" t="s">
        <v>184</v>
      </c>
      <c r="J4" s="11" t="s">
        <v>185</v>
      </c>
      <c r="K4" s="11" t="s">
        <v>186</v>
      </c>
      <c r="L4" s="11" t="s">
        <v>187</v>
      </c>
      <c r="M4" s="11" t="s">
        <v>188</v>
      </c>
      <c r="N4" s="10" t="s">
        <v>175</v>
      </c>
      <c r="O4" s="10" t="s">
        <v>189</v>
      </c>
      <c r="P4" s="10" t="s">
        <v>190</v>
      </c>
      <c r="Q4" s="10" t="s">
        <v>191</v>
      </c>
      <c r="R4" s="10" t="s">
        <v>192</v>
      </c>
    </row>
    <row r="5" spans="2:18" ht="18" thickBot="1" x14ac:dyDescent="0.45">
      <c r="B5" s="30" t="s">
        <v>211</v>
      </c>
      <c r="C5" s="31" t="s">
        <v>212</v>
      </c>
      <c r="D5" s="32">
        <v>4518501238</v>
      </c>
      <c r="E5" s="4" t="str">
        <f>LEFT(D5,3)</f>
        <v>451</v>
      </c>
      <c r="F5" s="4" t="str">
        <f>MID(D5,4,2)</f>
        <v>85</v>
      </c>
      <c r="G5" s="4" t="str">
        <f>RIGHT(D5,5)</f>
        <v>01238</v>
      </c>
      <c r="H5" s="13">
        <f>IFERROR(VLOOKUP($B5,'SAP 금액'!$A:$C,2,0),0)</f>
        <v>0</v>
      </c>
      <c r="I5" s="13">
        <f>IFERROR(VLOOKUP($B5,'SAP 금액'!$A:$C,3,0),0)</f>
        <v>0</v>
      </c>
      <c r="J5" s="13">
        <f>IFERROR(VLOOKUP(B5,'SAP 금액'!E:F,2,0),0)</f>
        <v>0</v>
      </c>
      <c r="K5" s="13">
        <f>VLOOKUP($B5,'국세청 금액'!$A:$C,2,0)</f>
        <v>15471123264</v>
      </c>
      <c r="L5" s="13">
        <f>VLOOKUP($B5,'국세청 금액'!$A:$C,3,0)</f>
        <v>1547112127</v>
      </c>
      <c r="M5" s="13">
        <f>VLOOKUP(B5,'국세청 금액'!A:F,6,0)</f>
        <v>3872077882</v>
      </c>
      <c r="N5" s="14">
        <f>K5-H5</f>
        <v>15471123264</v>
      </c>
      <c r="O5" s="14">
        <f>L5-I5</f>
        <v>1547112127</v>
      </c>
      <c r="P5" s="14">
        <f>M5-J5</f>
        <v>3872077882</v>
      </c>
      <c r="Q5" s="4" t="b">
        <f>AND(N5&lt;&gt;0,O5&lt;&gt;0)</f>
        <v>1</v>
      </c>
      <c r="R5" s="4" t="b">
        <f>P5&lt;&gt;0</f>
        <v>1</v>
      </c>
    </row>
    <row r="6" spans="2:18" ht="18" thickBot="1" x14ac:dyDescent="0.45">
      <c r="B6" s="33" t="s">
        <v>213</v>
      </c>
      <c r="C6" s="34" t="s">
        <v>214</v>
      </c>
      <c r="D6" s="35">
        <v>3858501120</v>
      </c>
      <c r="E6" s="4" t="str">
        <f>LEFT(D6,3)</f>
        <v>385</v>
      </c>
      <c r="F6" s="4" t="str">
        <f>MID(D6,4,2)</f>
        <v>85</v>
      </c>
      <c r="G6" s="4" t="str">
        <f>RIGHT(D6,5)</f>
        <v>01120</v>
      </c>
      <c r="H6" s="13">
        <f>IFERROR(VLOOKUP($B6,'SAP 금액'!$A:$C,2,0),0)</f>
        <v>0</v>
      </c>
      <c r="I6" s="13">
        <f>IFERROR(VLOOKUP($B6,'SAP 금액'!$A:$C,3,0),0)</f>
        <v>0</v>
      </c>
      <c r="J6" s="13">
        <f>IFERROR(VLOOKUP(B6,'SAP 금액'!E:F,2,0),0)</f>
        <v>0</v>
      </c>
      <c r="K6" s="13">
        <f>VLOOKUP($B6,'국세청 금액'!$A:$C,2,0)</f>
        <v>85553347</v>
      </c>
      <c r="L6" s="13">
        <f>VLOOKUP($B6,'국세청 금액'!$A:$C,3,0)</f>
        <v>8555332</v>
      </c>
      <c r="M6" s="13">
        <f>VLOOKUP(B6,'국세청 금액'!A:F,6,0)</f>
        <v>0</v>
      </c>
      <c r="N6" s="14">
        <f>K6-H6</f>
        <v>85553347</v>
      </c>
      <c r="O6" s="14">
        <f>L6-I6</f>
        <v>8555332</v>
      </c>
      <c r="P6" s="14">
        <f>M6-J6</f>
        <v>0</v>
      </c>
      <c r="Q6" s="4" t="b">
        <f>AND(N6&lt;&gt;0,O6&lt;&gt;0)</f>
        <v>1</v>
      </c>
      <c r="R6" s="4" t="b">
        <f>P6&lt;&gt;0</f>
        <v>0</v>
      </c>
    </row>
    <row r="7" spans="2:18" ht="18" thickBot="1" x14ac:dyDescent="0.45">
      <c r="B7" s="33" t="s">
        <v>217</v>
      </c>
      <c r="C7" s="34" t="s">
        <v>218</v>
      </c>
      <c r="D7" s="35">
        <v>3318501351</v>
      </c>
      <c r="E7" s="4" t="str">
        <f>LEFT(D7,3)</f>
        <v>331</v>
      </c>
      <c r="F7" s="4" t="str">
        <f>MID(D7,4,2)</f>
        <v>85</v>
      </c>
      <c r="G7" s="4" t="str">
        <f>RIGHT(D7,5)</f>
        <v>01351</v>
      </c>
      <c r="H7" s="13">
        <f>IFERROR(VLOOKUP($B7,'SAP 금액'!$A:$C,2,0),0)</f>
        <v>0</v>
      </c>
      <c r="I7" s="13">
        <f>IFERROR(VLOOKUP($B7,'SAP 금액'!$A:$C,3,0),0)</f>
        <v>0</v>
      </c>
      <c r="J7" s="13">
        <f>IFERROR(VLOOKUP(B7,'SAP 금액'!E:F,2,0),0)</f>
        <v>0</v>
      </c>
      <c r="K7" s="13">
        <f>VLOOKUP($B7,'국세청 금액'!$A:$C,2,0)</f>
        <v>208104279</v>
      </c>
      <c r="L7" s="13">
        <f>VLOOKUP($B7,'국세청 금액'!$A:$C,3,0)</f>
        <v>20810426</v>
      </c>
      <c r="M7" s="13">
        <f>VLOOKUP(B7,'국세청 금액'!A:F,6,0)</f>
        <v>529934385</v>
      </c>
      <c r="N7" s="14">
        <f>K7-H7</f>
        <v>208104279</v>
      </c>
      <c r="O7" s="14">
        <f>L7-I7</f>
        <v>20810426</v>
      </c>
      <c r="P7" s="14">
        <f>M7-J7</f>
        <v>529934385</v>
      </c>
      <c r="Q7" s="4" t="b">
        <f>AND(N7&lt;&gt;0,O7&lt;&gt;0)</f>
        <v>1</v>
      </c>
      <c r="R7" s="4" t="b">
        <f>P7&lt;&gt;0</f>
        <v>1</v>
      </c>
    </row>
    <row r="8" spans="2:18" ht="18" thickBot="1" x14ac:dyDescent="0.45">
      <c r="B8" s="33" t="s">
        <v>219</v>
      </c>
      <c r="C8" s="34" t="s">
        <v>220</v>
      </c>
      <c r="D8" s="35">
        <v>8858501256</v>
      </c>
      <c r="E8" s="4" t="str">
        <f>LEFT(D8,3)</f>
        <v>885</v>
      </c>
      <c r="F8" s="4" t="str">
        <f>MID(D8,4,2)</f>
        <v>85</v>
      </c>
      <c r="G8" s="4" t="str">
        <f>RIGHT(D8,5)</f>
        <v>01256</v>
      </c>
      <c r="H8" s="13">
        <f>IFERROR(VLOOKUP($B8,'SAP 금액'!$A:$C,2,0),0)</f>
        <v>0</v>
      </c>
      <c r="I8" s="13">
        <f>IFERROR(VLOOKUP($B8,'SAP 금액'!$A:$C,3,0),0)</f>
        <v>0</v>
      </c>
      <c r="J8" s="13">
        <f>IFERROR(VLOOKUP(B8,'SAP 금액'!E:F,2,0),0)</f>
        <v>0</v>
      </c>
      <c r="K8" s="13">
        <f>VLOOKUP($B8,'국세청 금액'!$A:$C,2,0)</f>
        <v>234467689</v>
      </c>
      <c r="L8" s="13">
        <f>VLOOKUP($B8,'국세청 금액'!$A:$C,3,0)</f>
        <v>23445569</v>
      </c>
      <c r="M8" s="13">
        <f>VLOOKUP(B8,'국세청 금액'!A:F,6,0)</f>
        <v>720000</v>
      </c>
      <c r="N8" s="14">
        <f>K8-H8</f>
        <v>234467689</v>
      </c>
      <c r="O8" s="14">
        <f>L8-I8</f>
        <v>23445569</v>
      </c>
      <c r="P8" s="14">
        <f>M8-J8</f>
        <v>720000</v>
      </c>
      <c r="Q8" s="4" t="b">
        <f>AND(N8&lt;&gt;0,O8&lt;&gt;0)</f>
        <v>1</v>
      </c>
      <c r="R8" s="4" t="b">
        <f>P8&lt;&gt;0</f>
        <v>1</v>
      </c>
    </row>
    <row r="9" spans="2:18" ht="18" thickBot="1" x14ac:dyDescent="0.45">
      <c r="B9" s="36" t="s">
        <v>221</v>
      </c>
      <c r="C9" s="37" t="s">
        <v>222</v>
      </c>
      <c r="D9" s="38">
        <v>6758501080</v>
      </c>
      <c r="E9" s="4" t="str">
        <f>LEFT(D9,3)</f>
        <v>675</v>
      </c>
      <c r="F9" s="4" t="str">
        <f>MID(D9,4,2)</f>
        <v>85</v>
      </c>
      <c r="G9" s="4" t="str">
        <f>RIGHT(D9,5)</f>
        <v>01080</v>
      </c>
      <c r="H9" s="13">
        <f>IFERROR(VLOOKUP($B9,'SAP 금액'!$A:$C,2,0),0)</f>
        <v>0</v>
      </c>
      <c r="I9" s="13">
        <f>IFERROR(VLOOKUP($B9,'SAP 금액'!$A:$C,3,0),0)</f>
        <v>0</v>
      </c>
      <c r="J9" s="13">
        <f>IFERROR(VLOOKUP(B9,'SAP 금액'!E:F,2,0),0)</f>
        <v>0</v>
      </c>
      <c r="K9" s="13">
        <f>VLOOKUP($B9,'국세청 금액'!$A:$C,2,0)</f>
        <v>351099022</v>
      </c>
      <c r="L9" s="13">
        <f>VLOOKUP($B9,'국세청 금액'!$A:$C,3,0)</f>
        <v>35109645</v>
      </c>
      <c r="M9" s="13">
        <f>VLOOKUP(B9,'국세청 금액'!A:F,6,0)</f>
        <v>300000</v>
      </c>
      <c r="N9" s="14">
        <f>K9-H9</f>
        <v>351099022</v>
      </c>
      <c r="O9" s="14">
        <f>L9-I9</f>
        <v>35109645</v>
      </c>
      <c r="P9" s="14">
        <f>M9-J9</f>
        <v>300000</v>
      </c>
      <c r="Q9" s="4" t="b">
        <f>AND(N9&lt;&gt;0,O9&lt;&gt;0)</f>
        <v>1</v>
      </c>
      <c r="R9" s="4" t="b">
        <f>P9&lt;&gt;0</f>
        <v>1</v>
      </c>
    </row>
    <row r="10" spans="2:18" ht="18" thickBot="1" x14ac:dyDescent="0.45">
      <c r="B10" s="33" t="s">
        <v>223</v>
      </c>
      <c r="C10" s="34" t="s">
        <v>224</v>
      </c>
      <c r="D10" s="35">
        <v>3198501119</v>
      </c>
      <c r="E10" s="4" t="str">
        <f>LEFT(D10,3)</f>
        <v>319</v>
      </c>
      <c r="F10" s="4" t="str">
        <f>MID(D10,4,2)</f>
        <v>85</v>
      </c>
      <c r="G10" s="4" t="str">
        <f>RIGHT(D10,5)</f>
        <v>01119</v>
      </c>
      <c r="H10" s="13">
        <f>IFERROR(VLOOKUP($B10,'SAP 금액'!$A:$C,2,0),0)</f>
        <v>0</v>
      </c>
      <c r="I10" s="13">
        <f>IFERROR(VLOOKUP($B10,'SAP 금액'!$A:$C,3,0),0)</f>
        <v>0</v>
      </c>
      <c r="J10" s="13">
        <f>IFERROR(VLOOKUP(B10,'SAP 금액'!E:F,2,0),0)</f>
        <v>0</v>
      </c>
      <c r="K10" s="13">
        <f>VLOOKUP($B10,'국세청 금액'!$A:$C,2,0)</f>
        <v>111506858</v>
      </c>
      <c r="L10" s="13">
        <f>VLOOKUP($B10,'국세청 금액'!$A:$C,3,0)</f>
        <v>11150365</v>
      </c>
      <c r="M10" s="13">
        <f>VLOOKUP(B10,'국세청 금액'!A:F,6,0)</f>
        <v>300000</v>
      </c>
      <c r="N10" s="14">
        <f>K10-H10</f>
        <v>111506858</v>
      </c>
      <c r="O10" s="14">
        <f>L10-I10</f>
        <v>11150365</v>
      </c>
      <c r="P10" s="14">
        <f>M10-J10</f>
        <v>300000</v>
      </c>
      <c r="Q10" s="4" t="b">
        <f>AND(N10&lt;&gt;0,O10&lt;&gt;0)</f>
        <v>1</v>
      </c>
      <c r="R10" s="4" t="b">
        <f>P10&lt;&gt;0</f>
        <v>1</v>
      </c>
    </row>
    <row r="11" spans="2:18" ht="18" thickBot="1" x14ac:dyDescent="0.45">
      <c r="B11" s="36" t="s">
        <v>225</v>
      </c>
      <c r="C11" s="37" t="s">
        <v>226</v>
      </c>
      <c r="D11" s="38">
        <v>5688501235</v>
      </c>
      <c r="E11" s="4" t="str">
        <f>LEFT(D11,3)</f>
        <v>568</v>
      </c>
      <c r="F11" s="4" t="str">
        <f>MID(D11,4,2)</f>
        <v>85</v>
      </c>
      <c r="G11" s="4" t="str">
        <f>RIGHT(D11,5)</f>
        <v>01235</v>
      </c>
      <c r="H11" s="13">
        <f>IFERROR(VLOOKUP($B11,'SAP 금액'!$A:$C,2,0),0)</f>
        <v>0</v>
      </c>
      <c r="I11" s="13">
        <f>IFERROR(VLOOKUP($B11,'SAP 금액'!$A:$C,3,0),0)</f>
        <v>0</v>
      </c>
      <c r="J11" s="13">
        <f>IFERROR(VLOOKUP(B11,'SAP 금액'!E:F,2,0),0)</f>
        <v>0</v>
      </c>
      <c r="K11" s="13">
        <f>VLOOKUP($B11,'국세청 금액'!$A:$C,2,0)</f>
        <v>155447101</v>
      </c>
      <c r="L11" s="13">
        <f>VLOOKUP($B11,'국세청 금액'!$A:$C,3,0)</f>
        <v>15544679</v>
      </c>
      <c r="M11" s="13">
        <f>VLOOKUP(B11,'국세청 금액'!A:F,6,0)</f>
        <v>252000</v>
      </c>
      <c r="N11" s="14">
        <f>K11-H11</f>
        <v>155447101</v>
      </c>
      <c r="O11" s="14">
        <f>L11-I11</f>
        <v>15544679</v>
      </c>
      <c r="P11" s="14">
        <f>M11-J11</f>
        <v>252000</v>
      </c>
      <c r="Q11" s="4" t="b">
        <f>AND(N11&lt;&gt;0,O11&lt;&gt;0)</f>
        <v>1</v>
      </c>
      <c r="R11" s="4" t="b">
        <f>P11&lt;&gt;0</f>
        <v>1</v>
      </c>
    </row>
    <row r="12" spans="2:18" ht="18" thickBot="1" x14ac:dyDescent="0.45">
      <c r="B12" s="33" t="s">
        <v>227</v>
      </c>
      <c r="C12" s="34" t="s">
        <v>228</v>
      </c>
      <c r="D12" s="35">
        <v>5168501044</v>
      </c>
      <c r="E12" s="4" t="str">
        <f>LEFT(D12,3)</f>
        <v>516</v>
      </c>
      <c r="F12" s="4" t="str">
        <f>MID(D12,4,2)</f>
        <v>85</v>
      </c>
      <c r="G12" s="4" t="str">
        <f>RIGHT(D12,5)</f>
        <v>01044</v>
      </c>
      <c r="H12" s="13">
        <f>IFERROR(VLOOKUP($B12,'SAP 금액'!$A:$C,2,0),0)</f>
        <v>0</v>
      </c>
      <c r="I12" s="13">
        <f>IFERROR(VLOOKUP($B12,'SAP 금액'!$A:$C,3,0),0)</f>
        <v>0</v>
      </c>
      <c r="J12" s="13">
        <f>IFERROR(VLOOKUP(B12,'SAP 금액'!E:F,2,0),0)</f>
        <v>0</v>
      </c>
      <c r="K12" s="13">
        <f>VLOOKUP($B12,'국세청 금액'!$A:$C,2,0)</f>
        <v>80618219</v>
      </c>
      <c r="L12" s="13">
        <f>VLOOKUP($B12,'국세청 금액'!$A:$C,3,0)</f>
        <v>8061818</v>
      </c>
      <c r="M12" s="13">
        <f>VLOOKUP(B12,'국세청 금액'!A:F,6,0)</f>
        <v>720000</v>
      </c>
      <c r="N12" s="14">
        <f>K12-H12</f>
        <v>80618219</v>
      </c>
      <c r="O12" s="14">
        <f>L12-I12</f>
        <v>8061818</v>
      </c>
      <c r="P12" s="14">
        <f>M12-J12</f>
        <v>720000</v>
      </c>
      <c r="Q12" s="4" t="b">
        <f>AND(N12&lt;&gt;0,O12&lt;&gt;0)</f>
        <v>1</v>
      </c>
      <c r="R12" s="4" t="b">
        <f>P12&lt;&gt;0</f>
        <v>1</v>
      </c>
    </row>
    <row r="13" spans="2:18" ht="18" thickBot="1" x14ac:dyDescent="0.45">
      <c r="B13" s="33" t="s">
        <v>229</v>
      </c>
      <c r="C13" s="34" t="s">
        <v>230</v>
      </c>
      <c r="D13" s="35">
        <v>7148501366</v>
      </c>
      <c r="E13" s="4" t="str">
        <f>LEFT(D13,3)</f>
        <v>714</v>
      </c>
      <c r="F13" s="4" t="str">
        <f>MID(D13,4,2)</f>
        <v>85</v>
      </c>
      <c r="G13" s="4" t="str">
        <f>RIGHT(D13,5)</f>
        <v>01366</v>
      </c>
      <c r="H13" s="13">
        <f>IFERROR(VLOOKUP($B13,'SAP 금액'!$A:$C,2,0),0)</f>
        <v>0</v>
      </c>
      <c r="I13" s="13">
        <f>IFERROR(VLOOKUP($B13,'SAP 금액'!$A:$C,3,0),0)</f>
        <v>0</v>
      </c>
      <c r="J13" s="13">
        <f>IFERROR(VLOOKUP(B13,'SAP 금액'!E:F,2,0),0)</f>
        <v>0</v>
      </c>
      <c r="K13" s="13">
        <f>VLOOKUP($B13,'국세청 금액'!$A:$C,2,0)</f>
        <v>147671345</v>
      </c>
      <c r="L13" s="13">
        <f>VLOOKUP($B13,'국세청 금액'!$A:$C,3,0)</f>
        <v>14767128</v>
      </c>
      <c r="M13" s="13">
        <f>VLOOKUP(B13,'국세청 금액'!A:F,6,0)</f>
        <v>0</v>
      </c>
      <c r="N13" s="14">
        <f>K13-H13</f>
        <v>147671345</v>
      </c>
      <c r="O13" s="14">
        <f>L13-I13</f>
        <v>14767128</v>
      </c>
      <c r="P13" s="14">
        <f>M13-J13</f>
        <v>0</v>
      </c>
      <c r="Q13" s="4" t="b">
        <f>AND(N13&lt;&gt;0,O13&lt;&gt;0)</f>
        <v>1</v>
      </c>
      <c r="R13" s="4" t="b">
        <f>P13&lt;&gt;0</f>
        <v>0</v>
      </c>
    </row>
    <row r="14" spans="2:18" ht="18" thickBot="1" x14ac:dyDescent="0.45">
      <c r="B14" s="33" t="s">
        <v>231</v>
      </c>
      <c r="C14" s="34" t="s">
        <v>232</v>
      </c>
      <c r="D14" s="35">
        <v>7348501297</v>
      </c>
      <c r="E14" s="4" t="str">
        <f>LEFT(D14,3)</f>
        <v>734</v>
      </c>
      <c r="F14" s="4" t="str">
        <f>MID(D14,4,2)</f>
        <v>85</v>
      </c>
      <c r="G14" s="4" t="str">
        <f>RIGHT(D14,5)</f>
        <v>01297</v>
      </c>
      <c r="H14" s="13">
        <f>IFERROR(VLOOKUP($B14,'SAP 금액'!$A:$C,2,0),0)</f>
        <v>0</v>
      </c>
      <c r="I14" s="13">
        <f>IFERROR(VLOOKUP($B14,'SAP 금액'!$A:$C,3,0),0)</f>
        <v>0</v>
      </c>
      <c r="J14" s="13">
        <f>IFERROR(VLOOKUP(B14,'SAP 금액'!E:F,2,0),0)</f>
        <v>0</v>
      </c>
      <c r="K14" s="13">
        <f>VLOOKUP($B14,'국세청 금액'!$A:$C,2,0)</f>
        <v>11881242</v>
      </c>
      <c r="L14" s="13">
        <f>VLOOKUP($B14,'국세청 금액'!$A:$C,3,0)</f>
        <v>1188020</v>
      </c>
      <c r="M14" s="13">
        <f>VLOOKUP(B14,'국세청 금액'!A:F,6,0)</f>
        <v>0</v>
      </c>
      <c r="N14" s="14">
        <f>K14-H14</f>
        <v>11881242</v>
      </c>
      <c r="O14" s="14">
        <f>L14-I14</f>
        <v>1188020</v>
      </c>
      <c r="P14" s="14">
        <f>M14-J14</f>
        <v>0</v>
      </c>
      <c r="Q14" s="4" t="b">
        <f>AND(N14&lt;&gt;0,O14&lt;&gt;0)</f>
        <v>1</v>
      </c>
      <c r="R14" s="4" t="b">
        <f>P14&lt;&gt;0</f>
        <v>0</v>
      </c>
    </row>
    <row r="15" spans="2:18" ht="18" thickBot="1" x14ac:dyDescent="0.45">
      <c r="B15" s="33" t="s">
        <v>233</v>
      </c>
      <c r="C15" s="34" t="s">
        <v>234</v>
      </c>
      <c r="D15" s="35">
        <v>3738501239</v>
      </c>
      <c r="E15" s="4" t="str">
        <f>LEFT(D15,3)</f>
        <v>373</v>
      </c>
      <c r="F15" s="4" t="str">
        <f>MID(D15,4,2)</f>
        <v>85</v>
      </c>
      <c r="G15" s="4" t="str">
        <f>RIGHT(D15,5)</f>
        <v>01239</v>
      </c>
      <c r="H15" s="13">
        <f>IFERROR(VLOOKUP($B15,'SAP 금액'!$A:$C,2,0),0)</f>
        <v>0</v>
      </c>
      <c r="I15" s="13">
        <f>IFERROR(VLOOKUP($B15,'SAP 금액'!$A:$C,3,0),0)</f>
        <v>0</v>
      </c>
      <c r="J15" s="13">
        <f>IFERROR(VLOOKUP(B15,'SAP 금액'!E:F,2,0),0)</f>
        <v>0</v>
      </c>
      <c r="K15" s="13">
        <f>VLOOKUP($B15,'국세청 금액'!$A:$C,2,0)</f>
        <v>101960215</v>
      </c>
      <c r="L15" s="13">
        <f>VLOOKUP($B15,'국세청 금액'!$A:$C,3,0)</f>
        <v>10196016</v>
      </c>
      <c r="M15" s="13">
        <f>VLOOKUP(B15,'국세청 금액'!A:F,6,0)</f>
        <v>210000</v>
      </c>
      <c r="N15" s="14">
        <f>K15-H15</f>
        <v>101960215</v>
      </c>
      <c r="O15" s="14">
        <f>L15-I15</f>
        <v>10196016</v>
      </c>
      <c r="P15" s="14">
        <f>M15-J15</f>
        <v>210000</v>
      </c>
      <c r="Q15" s="4" t="b">
        <f>AND(N15&lt;&gt;0,O15&lt;&gt;0)</f>
        <v>1</v>
      </c>
      <c r="R15" s="4" t="b">
        <f>P15&lt;&gt;0</f>
        <v>1</v>
      </c>
    </row>
    <row r="16" spans="2:18" ht="18" thickBot="1" x14ac:dyDescent="0.45">
      <c r="B16" s="33" t="s">
        <v>235</v>
      </c>
      <c r="C16" s="34" t="s">
        <v>236</v>
      </c>
      <c r="D16" s="35">
        <v>5228501165</v>
      </c>
      <c r="E16" s="4" t="str">
        <f>LEFT(D16,3)</f>
        <v>522</v>
      </c>
      <c r="F16" s="4" t="str">
        <f>MID(D16,4,2)</f>
        <v>85</v>
      </c>
      <c r="G16" s="4" t="str">
        <f>RIGHT(D16,5)</f>
        <v>01165</v>
      </c>
      <c r="H16" s="13">
        <f>IFERROR(VLOOKUP($B16,'SAP 금액'!$A:$C,2,0),0)</f>
        <v>0</v>
      </c>
      <c r="I16" s="13">
        <f>IFERROR(VLOOKUP($B16,'SAP 금액'!$A:$C,3,0),0)</f>
        <v>0</v>
      </c>
      <c r="J16" s="13">
        <f>IFERROR(VLOOKUP(B16,'SAP 금액'!E:F,2,0),0)</f>
        <v>0</v>
      </c>
      <c r="K16" s="13">
        <f>VLOOKUP($B16,'국세청 금액'!$A:$C,2,0)</f>
        <v>78558350</v>
      </c>
      <c r="L16" s="13">
        <f>VLOOKUP($B16,'국세청 금액'!$A:$C,3,0)</f>
        <v>7855827</v>
      </c>
      <c r="M16" s="13">
        <f>VLOOKUP(B16,'국세청 금액'!A:F,6,0)</f>
        <v>0</v>
      </c>
      <c r="N16" s="14">
        <f>K16-H16</f>
        <v>78558350</v>
      </c>
      <c r="O16" s="14">
        <f>L16-I16</f>
        <v>7855827</v>
      </c>
      <c r="P16" s="14">
        <f>M16-J16</f>
        <v>0</v>
      </c>
      <c r="Q16" s="4" t="b">
        <f>AND(N16&lt;&gt;0,O16&lt;&gt;0)</f>
        <v>1</v>
      </c>
      <c r="R16" s="4" t="b">
        <f>P16&lt;&gt;0</f>
        <v>0</v>
      </c>
    </row>
    <row r="17" spans="2:18" ht="18" thickBot="1" x14ac:dyDescent="0.45">
      <c r="B17" s="33" t="s">
        <v>237</v>
      </c>
      <c r="C17" s="34" t="s">
        <v>238</v>
      </c>
      <c r="D17" s="35">
        <v>4598501208</v>
      </c>
      <c r="E17" s="4" t="str">
        <f>LEFT(D17,3)</f>
        <v>459</v>
      </c>
      <c r="F17" s="4" t="str">
        <f>MID(D17,4,2)</f>
        <v>85</v>
      </c>
      <c r="G17" s="4" t="str">
        <f>RIGHT(D17,5)</f>
        <v>01208</v>
      </c>
      <c r="H17" s="13">
        <f>IFERROR(VLOOKUP($B17,'SAP 금액'!$A:$C,2,0),0)</f>
        <v>0</v>
      </c>
      <c r="I17" s="13">
        <f>IFERROR(VLOOKUP($B17,'SAP 금액'!$A:$C,3,0),0)</f>
        <v>0</v>
      </c>
      <c r="J17" s="13">
        <f>IFERROR(VLOOKUP(B17,'SAP 금액'!E:F,2,0),0)</f>
        <v>0</v>
      </c>
      <c r="K17" s="13">
        <f>VLOOKUP($B17,'국세청 금액'!$A:$C,2,0)</f>
        <v>29398466</v>
      </c>
      <c r="L17" s="13">
        <f>VLOOKUP($B17,'국세청 금액'!$A:$C,3,0)</f>
        <v>2939853</v>
      </c>
      <c r="M17" s="13">
        <f>VLOOKUP(B17,'국세청 금액'!A:F,6,0)</f>
        <v>0</v>
      </c>
      <c r="N17" s="14">
        <f>K17-H17</f>
        <v>29398466</v>
      </c>
      <c r="O17" s="14">
        <f>L17-I17</f>
        <v>2939853</v>
      </c>
      <c r="P17" s="14">
        <f>M17-J17</f>
        <v>0</v>
      </c>
      <c r="Q17" s="4" t="b">
        <f>AND(N17&lt;&gt;0,O17&lt;&gt;0)</f>
        <v>1</v>
      </c>
      <c r="R17" s="4" t="b">
        <f>P17&lt;&gt;0</f>
        <v>0</v>
      </c>
    </row>
    <row r="18" spans="2:18" ht="18" thickBot="1" x14ac:dyDescent="0.45">
      <c r="B18" s="33" t="s">
        <v>239</v>
      </c>
      <c r="C18" s="34" t="s">
        <v>240</v>
      </c>
      <c r="D18" s="35">
        <v>7438501137</v>
      </c>
      <c r="E18" s="4" t="str">
        <f>LEFT(D18,3)</f>
        <v>743</v>
      </c>
      <c r="F18" s="4" t="str">
        <f>MID(D18,4,2)</f>
        <v>85</v>
      </c>
      <c r="G18" s="4" t="str">
        <f>RIGHT(D18,5)</f>
        <v>01137</v>
      </c>
      <c r="H18" s="13">
        <f>IFERROR(VLOOKUP($B18,'SAP 금액'!$A:$C,2,0),0)</f>
        <v>0</v>
      </c>
      <c r="I18" s="13">
        <f>IFERROR(VLOOKUP($B18,'SAP 금액'!$A:$C,3,0),0)</f>
        <v>0</v>
      </c>
      <c r="J18" s="13">
        <f>IFERROR(VLOOKUP(B18,'SAP 금액'!E:F,2,0),0)</f>
        <v>0</v>
      </c>
      <c r="K18" s="13">
        <f>VLOOKUP($B18,'국세청 금액'!$A:$C,2,0)</f>
        <v>24010305</v>
      </c>
      <c r="L18" s="13">
        <f>VLOOKUP($B18,'국세청 금액'!$A:$C,3,0)</f>
        <v>2400945</v>
      </c>
      <c r="M18" s="13">
        <f>VLOOKUP(B18,'국세청 금액'!A:F,6,0)</f>
        <v>0</v>
      </c>
      <c r="N18" s="14">
        <f>K18-H18</f>
        <v>24010305</v>
      </c>
      <c r="O18" s="14">
        <f>L18-I18</f>
        <v>2400945</v>
      </c>
      <c r="P18" s="14">
        <f>M18-J18</f>
        <v>0</v>
      </c>
      <c r="Q18" s="4" t="b">
        <f>AND(N18&lt;&gt;0,O18&lt;&gt;0)</f>
        <v>1</v>
      </c>
      <c r="R18" s="4" t="b">
        <f>P18&lt;&gt;0</f>
        <v>0</v>
      </c>
    </row>
    <row r="19" spans="2:18" ht="18" thickBot="1" x14ac:dyDescent="0.45">
      <c r="B19" s="33" t="s">
        <v>241</v>
      </c>
      <c r="C19" s="34" t="s">
        <v>242</v>
      </c>
      <c r="D19" s="35">
        <v>7318501212</v>
      </c>
      <c r="E19" s="4" t="str">
        <f>LEFT(D19,3)</f>
        <v>731</v>
      </c>
      <c r="F19" s="4" t="str">
        <f>MID(D19,4,2)</f>
        <v>85</v>
      </c>
      <c r="G19" s="4" t="str">
        <f>RIGHT(D19,5)</f>
        <v>01212</v>
      </c>
      <c r="H19" s="13">
        <f>IFERROR(VLOOKUP($B19,'SAP 금액'!$A:$C,2,0),0)</f>
        <v>0</v>
      </c>
      <c r="I19" s="13">
        <f>IFERROR(VLOOKUP($B19,'SAP 금액'!$A:$C,3,0),0)</f>
        <v>0</v>
      </c>
      <c r="J19" s="13">
        <f>IFERROR(VLOOKUP(B19,'SAP 금액'!E:F,2,0),0)</f>
        <v>0</v>
      </c>
      <c r="K19" s="13">
        <f>VLOOKUP($B19,'국세청 금액'!$A:$C,2,0)</f>
        <v>7208406</v>
      </c>
      <c r="L19" s="13">
        <f>VLOOKUP($B19,'국세청 금액'!$A:$C,3,0)</f>
        <v>720837</v>
      </c>
      <c r="M19" s="13">
        <f>VLOOKUP(B19,'국세청 금액'!A:F,6,0)</f>
        <v>0</v>
      </c>
      <c r="N19" s="14">
        <f>K19-H19</f>
        <v>7208406</v>
      </c>
      <c r="O19" s="14">
        <f>L19-I19</f>
        <v>720837</v>
      </c>
      <c r="P19" s="14">
        <f>M19-J19</f>
        <v>0</v>
      </c>
      <c r="Q19" s="4" t="b">
        <f>AND(N19&lt;&gt;0,O19&lt;&gt;0)</f>
        <v>1</v>
      </c>
      <c r="R19" s="4" t="b">
        <f>P19&lt;&gt;0</f>
        <v>0</v>
      </c>
    </row>
    <row r="20" spans="2:18" ht="18" thickBot="1" x14ac:dyDescent="0.45">
      <c r="B20" s="33" t="s">
        <v>243</v>
      </c>
      <c r="C20" s="34" t="s">
        <v>244</v>
      </c>
      <c r="D20" s="35">
        <v>7738501142</v>
      </c>
      <c r="E20" s="4" t="str">
        <f>LEFT(D20,3)</f>
        <v>773</v>
      </c>
      <c r="F20" s="4" t="str">
        <f>MID(D20,4,2)</f>
        <v>85</v>
      </c>
      <c r="G20" s="4" t="str">
        <f>RIGHT(D20,5)</f>
        <v>01142</v>
      </c>
      <c r="H20" s="13">
        <f>IFERROR(VLOOKUP($B20,'SAP 금액'!$A:$C,2,0),0)</f>
        <v>0</v>
      </c>
      <c r="I20" s="13">
        <f>IFERROR(VLOOKUP($B20,'SAP 금액'!$A:$C,3,0),0)</f>
        <v>0</v>
      </c>
      <c r="J20" s="13">
        <f>IFERROR(VLOOKUP(B20,'SAP 금액'!E:F,2,0),0)</f>
        <v>0</v>
      </c>
      <c r="K20" s="13">
        <f>VLOOKUP($B20,'국세청 금액'!$A:$C,2,0)</f>
        <v>10290286</v>
      </c>
      <c r="L20" s="13">
        <f>VLOOKUP($B20,'국세청 금액'!$A:$C,3,0)</f>
        <v>1029025</v>
      </c>
      <c r="M20" s="13">
        <f>VLOOKUP(B20,'국세청 금액'!A:F,6,0)</f>
        <v>0</v>
      </c>
      <c r="N20" s="14">
        <f>K20-H20</f>
        <v>10290286</v>
      </c>
      <c r="O20" s="14">
        <f>L20-I20</f>
        <v>1029025</v>
      </c>
      <c r="P20" s="14">
        <f>M20-J20</f>
        <v>0</v>
      </c>
      <c r="Q20" s="4" t="b">
        <f>AND(N20&lt;&gt;0,O20&lt;&gt;0)</f>
        <v>1</v>
      </c>
      <c r="R20" s="4" t="b">
        <f>P20&lt;&gt;0</f>
        <v>0</v>
      </c>
    </row>
    <row r="21" spans="2:18" ht="18" thickBot="1" x14ac:dyDescent="0.45">
      <c r="B21" s="33" t="s">
        <v>245</v>
      </c>
      <c r="C21" s="34" t="s">
        <v>246</v>
      </c>
      <c r="D21" s="35">
        <v>7128501093</v>
      </c>
      <c r="E21" s="4" t="str">
        <f>LEFT(D21,3)</f>
        <v>712</v>
      </c>
      <c r="F21" s="4" t="str">
        <f>MID(D21,4,2)</f>
        <v>85</v>
      </c>
      <c r="G21" s="4" t="str">
        <f>RIGHT(D21,5)</f>
        <v>01093</v>
      </c>
      <c r="H21" s="13">
        <f>IFERROR(VLOOKUP($B21,'SAP 금액'!$A:$C,2,0),0)</f>
        <v>0</v>
      </c>
      <c r="I21" s="13">
        <f>IFERROR(VLOOKUP($B21,'SAP 금액'!$A:$C,3,0),0)</f>
        <v>0</v>
      </c>
      <c r="J21" s="13">
        <f>IFERROR(VLOOKUP(B21,'SAP 금액'!E:F,2,0),0)</f>
        <v>0</v>
      </c>
      <c r="K21" s="13">
        <f>VLOOKUP($B21,'국세청 금액'!$A:$C,2,0)</f>
        <v>25751716</v>
      </c>
      <c r="L21" s="13">
        <f>VLOOKUP($B21,'국세청 금액'!$A:$C,3,0)</f>
        <v>2575104</v>
      </c>
      <c r="M21" s="13">
        <f>VLOOKUP(B21,'국세청 금액'!A:F,6,0)</f>
        <v>0</v>
      </c>
      <c r="N21" s="14">
        <f>K21-H21</f>
        <v>25751716</v>
      </c>
      <c r="O21" s="14">
        <f>L21-I21</f>
        <v>2575104</v>
      </c>
      <c r="P21" s="14">
        <f>M21-J21</f>
        <v>0</v>
      </c>
      <c r="Q21" s="4" t="b">
        <f>AND(N21&lt;&gt;0,O21&lt;&gt;0)</f>
        <v>1</v>
      </c>
      <c r="R21" s="4" t="b">
        <f>P21&lt;&gt;0</f>
        <v>0</v>
      </c>
    </row>
    <row r="22" spans="2:18" ht="18" thickBot="1" x14ac:dyDescent="0.45">
      <c r="B22" s="33" t="s">
        <v>247</v>
      </c>
      <c r="C22" s="34" t="s">
        <v>248</v>
      </c>
      <c r="D22" s="35">
        <v>6928501329</v>
      </c>
      <c r="E22" s="4" t="str">
        <f>LEFT(D22,3)</f>
        <v>692</v>
      </c>
      <c r="F22" s="4" t="str">
        <f>MID(D22,4,2)</f>
        <v>85</v>
      </c>
      <c r="G22" s="4" t="str">
        <f>RIGHT(D22,5)</f>
        <v>01329</v>
      </c>
      <c r="H22" s="13">
        <f>IFERROR(VLOOKUP($B22,'SAP 금액'!$A:$C,2,0),0)</f>
        <v>0</v>
      </c>
      <c r="I22" s="13">
        <f>IFERROR(VLOOKUP($B22,'SAP 금액'!$A:$C,3,0),0)</f>
        <v>0</v>
      </c>
      <c r="J22" s="13">
        <f>IFERROR(VLOOKUP(B22,'SAP 금액'!E:F,2,0),0)</f>
        <v>0</v>
      </c>
      <c r="K22" s="13">
        <f>VLOOKUP($B22,'국세청 금액'!$A:$C,2,0)</f>
        <v>202168950</v>
      </c>
      <c r="L22" s="13">
        <f>VLOOKUP($B22,'국세청 금액'!$A:$C,3,0)</f>
        <v>20216787</v>
      </c>
      <c r="M22" s="13">
        <f>VLOOKUP(B22,'국세청 금액'!A:F,6,0)</f>
        <v>0</v>
      </c>
      <c r="N22" s="14">
        <f>K22-H22</f>
        <v>202168950</v>
      </c>
      <c r="O22" s="14">
        <f>L22-I22</f>
        <v>20216787</v>
      </c>
      <c r="P22" s="14">
        <f>M22-J22</f>
        <v>0</v>
      </c>
      <c r="Q22" s="4" t="b">
        <f>AND(N22&lt;&gt;0,O22&lt;&gt;0)</f>
        <v>1</v>
      </c>
      <c r="R22" s="4" t="b">
        <f>P22&lt;&gt;0</f>
        <v>0</v>
      </c>
    </row>
    <row r="23" spans="2:18" ht="18" thickBot="1" x14ac:dyDescent="0.45">
      <c r="B23" s="33" t="s">
        <v>249</v>
      </c>
      <c r="C23" s="34" t="s">
        <v>250</v>
      </c>
      <c r="D23" s="35">
        <v>7748501131</v>
      </c>
      <c r="E23" s="4" t="str">
        <f>LEFT(D23,3)</f>
        <v>774</v>
      </c>
      <c r="F23" s="4" t="str">
        <f>MID(D23,4,2)</f>
        <v>85</v>
      </c>
      <c r="G23" s="4" t="str">
        <f>RIGHT(D23,5)</f>
        <v>01131</v>
      </c>
      <c r="H23" s="13">
        <f>IFERROR(VLOOKUP($B23,'SAP 금액'!$A:$C,2,0),0)</f>
        <v>0</v>
      </c>
      <c r="I23" s="13">
        <f>IFERROR(VLOOKUP($B23,'SAP 금액'!$A:$C,3,0),0)</f>
        <v>0</v>
      </c>
      <c r="J23" s="13">
        <f>IFERROR(VLOOKUP(B23,'SAP 금액'!E:F,2,0),0)</f>
        <v>0</v>
      </c>
      <c r="K23" s="13">
        <f>VLOOKUP($B23,'국세청 금액'!$A:$C,2,0)</f>
        <v>13166594</v>
      </c>
      <c r="L23" s="13">
        <f>VLOOKUP($B23,'국세청 금액'!$A:$C,3,0)</f>
        <v>1316657</v>
      </c>
      <c r="M23" s="13">
        <f>VLOOKUP(B23,'국세청 금액'!A:F,6,0)</f>
        <v>0</v>
      </c>
      <c r="N23" s="14">
        <f>K23-H23</f>
        <v>13166594</v>
      </c>
      <c r="O23" s="14">
        <f>L23-I23</f>
        <v>1316657</v>
      </c>
      <c r="P23" s="14">
        <f>M23-J23</f>
        <v>0</v>
      </c>
      <c r="Q23" s="4" t="b">
        <f>AND(N23&lt;&gt;0,O23&lt;&gt;0)</f>
        <v>1</v>
      </c>
      <c r="R23" s="4" t="b">
        <f>P23&lt;&gt;0</f>
        <v>0</v>
      </c>
    </row>
    <row r="24" spans="2:18" ht="18" thickBot="1" x14ac:dyDescent="0.45">
      <c r="B24" s="33" t="s">
        <v>251</v>
      </c>
      <c r="C24" s="34" t="s">
        <v>252</v>
      </c>
      <c r="D24" s="35">
        <v>8318501040</v>
      </c>
      <c r="E24" s="4" t="str">
        <f>LEFT(D24,3)</f>
        <v>831</v>
      </c>
      <c r="F24" s="4" t="str">
        <f>MID(D24,4,2)</f>
        <v>85</v>
      </c>
      <c r="G24" s="4" t="str">
        <f>RIGHT(D24,5)</f>
        <v>01040</v>
      </c>
      <c r="H24" s="13">
        <f>IFERROR(VLOOKUP($B24,'SAP 금액'!$A:$C,2,0),0)</f>
        <v>0</v>
      </c>
      <c r="I24" s="13">
        <f>IFERROR(VLOOKUP($B24,'SAP 금액'!$A:$C,3,0),0)</f>
        <v>0</v>
      </c>
      <c r="J24" s="13">
        <f>IFERROR(VLOOKUP(B24,'SAP 금액'!E:F,2,0),0)</f>
        <v>0</v>
      </c>
      <c r="K24" s="13">
        <f>VLOOKUP($B24,'국세청 금액'!$A:$C,2,0)</f>
        <v>36364383</v>
      </c>
      <c r="L24" s="13">
        <f>VLOOKUP($B24,'국세청 금액'!$A:$C,3,0)</f>
        <v>3636414</v>
      </c>
      <c r="M24" s="13">
        <f>VLOOKUP(B24,'국세청 금액'!A:F,6,0)</f>
        <v>0</v>
      </c>
      <c r="N24" s="14">
        <f>K24-H24</f>
        <v>36364383</v>
      </c>
      <c r="O24" s="14">
        <f>L24-I24</f>
        <v>3636414</v>
      </c>
      <c r="P24" s="14">
        <f>M24-J24</f>
        <v>0</v>
      </c>
      <c r="Q24" s="4" t="b">
        <f>AND(N24&lt;&gt;0,O24&lt;&gt;0)</f>
        <v>1</v>
      </c>
      <c r="R24" s="4" t="b">
        <f>P24&lt;&gt;0</f>
        <v>0</v>
      </c>
    </row>
    <row r="25" spans="2:18" ht="18" thickBot="1" x14ac:dyDescent="0.45">
      <c r="B25" s="33" t="s">
        <v>253</v>
      </c>
      <c r="C25" s="34" t="s">
        <v>254</v>
      </c>
      <c r="D25" s="35">
        <v>7298501126</v>
      </c>
      <c r="E25" s="4" t="str">
        <f>LEFT(D25,3)</f>
        <v>729</v>
      </c>
      <c r="F25" s="4" t="str">
        <f>MID(D25,4,2)</f>
        <v>85</v>
      </c>
      <c r="G25" s="4" t="str">
        <f>RIGHT(D25,5)</f>
        <v>01126</v>
      </c>
      <c r="H25" s="13">
        <f>IFERROR(VLOOKUP($B25,'SAP 금액'!$A:$C,2,0),0)</f>
        <v>0</v>
      </c>
      <c r="I25" s="13">
        <f>IFERROR(VLOOKUP($B25,'SAP 금액'!$A:$C,3,0),0)</f>
        <v>0</v>
      </c>
      <c r="J25" s="13">
        <f>IFERROR(VLOOKUP(B25,'SAP 금액'!E:F,2,0),0)</f>
        <v>0</v>
      </c>
      <c r="K25" s="13">
        <f>VLOOKUP($B25,'국세청 금액'!$A:$C,2,0)</f>
        <v>26551294</v>
      </c>
      <c r="L25" s="13">
        <f>VLOOKUP($B25,'국세청 금액'!$A:$C,3,0)</f>
        <v>2655052</v>
      </c>
      <c r="M25" s="13">
        <f>VLOOKUP(B25,'국세청 금액'!A:F,6,0)</f>
        <v>0</v>
      </c>
      <c r="N25" s="14">
        <f>K25-H25</f>
        <v>26551294</v>
      </c>
      <c r="O25" s="14">
        <f>L25-I25</f>
        <v>2655052</v>
      </c>
      <c r="P25" s="14">
        <f>M25-J25</f>
        <v>0</v>
      </c>
      <c r="Q25" s="4" t="b">
        <f>AND(N25&lt;&gt;0,O25&lt;&gt;0)</f>
        <v>1</v>
      </c>
      <c r="R25" s="4" t="b">
        <f>P25&lt;&gt;0</f>
        <v>0</v>
      </c>
    </row>
    <row r="26" spans="2:18" ht="18" thickBot="1" x14ac:dyDescent="0.45">
      <c r="B26" s="33" t="s">
        <v>255</v>
      </c>
      <c r="C26" s="34" t="s">
        <v>256</v>
      </c>
      <c r="D26" s="35">
        <v>5538501228</v>
      </c>
      <c r="E26" s="4" t="str">
        <f>LEFT(D26,3)</f>
        <v>553</v>
      </c>
      <c r="F26" s="4" t="str">
        <f>MID(D26,4,2)</f>
        <v>85</v>
      </c>
      <c r="G26" s="4" t="str">
        <f>RIGHT(D26,5)</f>
        <v>01228</v>
      </c>
      <c r="H26" s="13">
        <f>IFERROR(VLOOKUP($B26,'SAP 금액'!$A:$C,2,0),0)</f>
        <v>0</v>
      </c>
      <c r="I26" s="13">
        <f>IFERROR(VLOOKUP($B26,'SAP 금액'!$A:$C,3,0),0)</f>
        <v>0</v>
      </c>
      <c r="J26" s="13">
        <f>IFERROR(VLOOKUP(B26,'SAP 금액'!E:F,2,0),0)</f>
        <v>0</v>
      </c>
      <c r="K26" s="13">
        <f>VLOOKUP($B26,'국세청 금액'!$A:$C,2,0)</f>
        <v>4672607</v>
      </c>
      <c r="L26" s="13">
        <f>VLOOKUP($B26,'국세청 금액'!$A:$C,3,0)</f>
        <v>467257</v>
      </c>
      <c r="M26" s="13">
        <f>VLOOKUP(B26,'국세청 금액'!A:F,6,0)</f>
        <v>0</v>
      </c>
      <c r="N26" s="14">
        <f>K26-H26</f>
        <v>4672607</v>
      </c>
      <c r="O26" s="14">
        <f>L26-I26</f>
        <v>467257</v>
      </c>
      <c r="P26" s="14">
        <f>M26-J26</f>
        <v>0</v>
      </c>
      <c r="Q26" s="4" t="b">
        <f>AND(N26&lt;&gt;0,O26&lt;&gt;0)</f>
        <v>1</v>
      </c>
      <c r="R26" s="4" t="b">
        <f>P26&lt;&gt;0</f>
        <v>0</v>
      </c>
    </row>
    <row r="27" spans="2:18" ht="18" thickBot="1" x14ac:dyDescent="0.45">
      <c r="B27" s="33" t="s">
        <v>257</v>
      </c>
      <c r="C27" s="34" t="s">
        <v>258</v>
      </c>
      <c r="D27" s="35">
        <v>6698501450</v>
      </c>
      <c r="E27" s="4" t="str">
        <f>LEFT(D27,3)</f>
        <v>669</v>
      </c>
      <c r="F27" s="4" t="str">
        <f>MID(D27,4,2)</f>
        <v>85</v>
      </c>
      <c r="G27" s="4" t="str">
        <f>RIGHT(D27,5)</f>
        <v>01450</v>
      </c>
      <c r="H27" s="13">
        <f>IFERROR(VLOOKUP($B27,'SAP 금액'!$A:$C,2,0),0)</f>
        <v>0</v>
      </c>
      <c r="I27" s="13">
        <f>IFERROR(VLOOKUP($B27,'SAP 금액'!$A:$C,3,0),0)</f>
        <v>0</v>
      </c>
      <c r="J27" s="13">
        <f>IFERROR(VLOOKUP(B27,'SAP 금액'!E:F,2,0),0)</f>
        <v>0</v>
      </c>
      <c r="K27" s="13">
        <f>VLOOKUP($B27,'국세청 금액'!$A:$C,2,0)</f>
        <v>15636143</v>
      </c>
      <c r="L27" s="13">
        <f>VLOOKUP($B27,'국세청 금액'!$A:$C,3,0)</f>
        <v>1563605</v>
      </c>
      <c r="M27" s="13">
        <f>VLOOKUP(B27,'국세청 금액'!A:F,6,0)</f>
        <v>0</v>
      </c>
      <c r="N27" s="14">
        <f>K27-H27</f>
        <v>15636143</v>
      </c>
      <c r="O27" s="14">
        <f>L27-I27</f>
        <v>1563605</v>
      </c>
      <c r="P27" s="14">
        <f>M27-J27</f>
        <v>0</v>
      </c>
      <c r="Q27" s="4" t="b">
        <f>AND(N27&lt;&gt;0,O27&lt;&gt;0)</f>
        <v>1</v>
      </c>
      <c r="R27" s="4" t="b">
        <f>P27&lt;&gt;0</f>
        <v>0</v>
      </c>
    </row>
    <row r="28" spans="2:18" ht="18" thickBot="1" x14ac:dyDescent="0.45">
      <c r="B28" s="33" t="s">
        <v>259</v>
      </c>
      <c r="C28" s="34" t="s">
        <v>260</v>
      </c>
      <c r="D28" s="35">
        <v>3408501132</v>
      </c>
      <c r="E28" s="4" t="str">
        <f>LEFT(D28,3)</f>
        <v>340</v>
      </c>
      <c r="F28" s="4" t="str">
        <f>MID(D28,4,2)</f>
        <v>85</v>
      </c>
      <c r="G28" s="4" t="str">
        <f>RIGHT(D28,5)</f>
        <v>01132</v>
      </c>
      <c r="H28" s="13">
        <f>IFERROR(VLOOKUP($B28,'SAP 금액'!$A:$C,2,0),0)</f>
        <v>0</v>
      </c>
      <c r="I28" s="13">
        <f>IFERROR(VLOOKUP($B28,'SAP 금액'!$A:$C,3,0),0)</f>
        <v>0</v>
      </c>
      <c r="J28" s="13">
        <f>IFERROR(VLOOKUP(B28,'SAP 금액'!E:F,2,0),0)</f>
        <v>0</v>
      </c>
      <c r="K28" s="13">
        <f>VLOOKUP($B28,'국세청 금액'!$A:$C,2,0)</f>
        <v>92958005</v>
      </c>
      <c r="L28" s="13">
        <f>VLOOKUP($B28,'국세청 금액'!$A:$C,3,0)</f>
        <v>9295797</v>
      </c>
      <c r="M28" s="13">
        <f>VLOOKUP(B28,'국세청 금액'!A:F,6,0)</f>
        <v>0</v>
      </c>
      <c r="N28" s="14">
        <f>K28-H28</f>
        <v>92958005</v>
      </c>
      <c r="O28" s="14">
        <f>L28-I28</f>
        <v>9295797</v>
      </c>
      <c r="P28" s="14">
        <f>M28-J28</f>
        <v>0</v>
      </c>
      <c r="Q28" s="4" t="b">
        <f>AND(N28&lt;&gt;0,O28&lt;&gt;0)</f>
        <v>1</v>
      </c>
      <c r="R28" s="4" t="b">
        <f>P28&lt;&gt;0</f>
        <v>0</v>
      </c>
    </row>
    <row r="29" spans="2:18" ht="18" thickBot="1" x14ac:dyDescent="0.45">
      <c r="B29" s="33" t="s">
        <v>261</v>
      </c>
      <c r="C29" s="34" t="s">
        <v>262</v>
      </c>
      <c r="D29" s="35">
        <v>7118501130</v>
      </c>
      <c r="E29" s="4" t="str">
        <f>LEFT(D29,3)</f>
        <v>711</v>
      </c>
      <c r="F29" s="4" t="str">
        <f>MID(D29,4,2)</f>
        <v>85</v>
      </c>
      <c r="G29" s="4" t="str">
        <f>RIGHT(D29,5)</f>
        <v>01130</v>
      </c>
      <c r="H29" s="13">
        <f>IFERROR(VLOOKUP($B29,'SAP 금액'!$A:$C,2,0),0)</f>
        <v>0</v>
      </c>
      <c r="I29" s="13">
        <f>IFERROR(VLOOKUP($B29,'SAP 금액'!$A:$C,3,0),0)</f>
        <v>0</v>
      </c>
      <c r="J29" s="13">
        <f>IFERROR(VLOOKUP(B29,'SAP 금액'!E:F,2,0),0)</f>
        <v>0</v>
      </c>
      <c r="K29" s="13">
        <f>VLOOKUP($B29,'국세청 금액'!$A:$C,2,0)</f>
        <v>41954334</v>
      </c>
      <c r="L29" s="13">
        <f>VLOOKUP($B29,'국세청 금액'!$A:$C,3,0)</f>
        <v>4195437</v>
      </c>
      <c r="M29" s="13">
        <f>VLOOKUP(B29,'국세청 금액'!A:F,6,0)</f>
        <v>999000</v>
      </c>
      <c r="N29" s="14">
        <f>K29-H29</f>
        <v>41954334</v>
      </c>
      <c r="O29" s="14">
        <f>L29-I29</f>
        <v>4195437</v>
      </c>
      <c r="P29" s="14">
        <f>M29-J29</f>
        <v>999000</v>
      </c>
      <c r="Q29" s="4" t="b">
        <f>AND(N29&lt;&gt;0,O29&lt;&gt;0)</f>
        <v>1</v>
      </c>
      <c r="R29" s="4" t="b">
        <f>P29&lt;&gt;0</f>
        <v>1</v>
      </c>
    </row>
    <row r="30" spans="2:18" ht="18" thickBot="1" x14ac:dyDescent="0.45">
      <c r="B30" s="33" t="s">
        <v>263</v>
      </c>
      <c r="C30" s="34" t="s">
        <v>264</v>
      </c>
      <c r="D30" s="35">
        <v>8148500954</v>
      </c>
      <c r="E30" s="4" t="str">
        <f>LEFT(D30,3)</f>
        <v>814</v>
      </c>
      <c r="F30" s="4" t="str">
        <f>MID(D30,4,2)</f>
        <v>85</v>
      </c>
      <c r="G30" s="4" t="str">
        <f>RIGHT(D30,5)</f>
        <v>00954</v>
      </c>
      <c r="H30" s="13">
        <f>IFERROR(VLOOKUP($B30,'SAP 금액'!$A:$C,2,0),0)</f>
        <v>0</v>
      </c>
      <c r="I30" s="13">
        <f>IFERROR(VLOOKUP($B30,'SAP 금액'!$A:$C,3,0),0)</f>
        <v>0</v>
      </c>
      <c r="J30" s="13">
        <f>IFERROR(VLOOKUP(B30,'SAP 금액'!E:F,2,0),0)</f>
        <v>0</v>
      </c>
      <c r="K30" s="13">
        <f>VLOOKUP($B30,'국세청 금액'!$A:$C,2,0)</f>
        <v>12769855</v>
      </c>
      <c r="L30" s="13">
        <f>VLOOKUP($B30,'국세청 금액'!$A:$C,3,0)</f>
        <v>1276965</v>
      </c>
      <c r="M30" s="13">
        <f>VLOOKUP(B30,'국세청 금액'!A:F,6,0)</f>
        <v>72000</v>
      </c>
      <c r="N30" s="14">
        <f>K30-H30</f>
        <v>12769855</v>
      </c>
      <c r="O30" s="14">
        <f>L30-I30</f>
        <v>1276965</v>
      </c>
      <c r="P30" s="14">
        <f>M30-J30</f>
        <v>72000</v>
      </c>
      <c r="Q30" s="4" t="b">
        <f>AND(N30&lt;&gt;0,O30&lt;&gt;0)</f>
        <v>1</v>
      </c>
      <c r="R30" s="4" t="b">
        <f>P30&lt;&gt;0</f>
        <v>1</v>
      </c>
    </row>
    <row r="31" spans="2:18" ht="18" thickBot="1" x14ac:dyDescent="0.45">
      <c r="B31" s="33" t="s">
        <v>265</v>
      </c>
      <c r="C31" s="34" t="s">
        <v>266</v>
      </c>
      <c r="D31" s="35">
        <v>4898501228</v>
      </c>
      <c r="E31" s="4" t="str">
        <f>LEFT(D31,3)</f>
        <v>489</v>
      </c>
      <c r="F31" s="4" t="str">
        <f>MID(D31,4,2)</f>
        <v>85</v>
      </c>
      <c r="G31" s="4" t="str">
        <f>RIGHT(D31,5)</f>
        <v>01228</v>
      </c>
      <c r="H31" s="13">
        <f>IFERROR(VLOOKUP($B31,'SAP 금액'!$A:$C,2,0),0)</f>
        <v>0</v>
      </c>
      <c r="I31" s="13">
        <f>IFERROR(VLOOKUP($B31,'SAP 금액'!$A:$C,3,0),0)</f>
        <v>0</v>
      </c>
      <c r="J31" s="13">
        <f>IFERROR(VLOOKUP(B31,'SAP 금액'!E:F,2,0),0)</f>
        <v>0</v>
      </c>
      <c r="K31" s="13">
        <f>VLOOKUP($B31,'국세청 금액'!$A:$C,2,0)</f>
        <v>20546355</v>
      </c>
      <c r="L31" s="13">
        <f>VLOOKUP($B31,'국세청 금액'!$A:$C,3,0)</f>
        <v>2054602</v>
      </c>
      <c r="M31" s="13">
        <f>VLOOKUP(B31,'국세청 금액'!A:F,6,0)</f>
        <v>0</v>
      </c>
      <c r="N31" s="14">
        <f>K31-H31</f>
        <v>20546355</v>
      </c>
      <c r="O31" s="14">
        <f>L31-I31</f>
        <v>2054602</v>
      </c>
      <c r="P31" s="14">
        <f>M31-J31</f>
        <v>0</v>
      </c>
      <c r="Q31" s="4" t="b">
        <f>AND(N31&lt;&gt;0,O31&lt;&gt;0)</f>
        <v>1</v>
      </c>
      <c r="R31" s="4" t="b">
        <f>P31&lt;&gt;0</f>
        <v>0</v>
      </c>
    </row>
    <row r="32" spans="2:18" ht="18" thickBot="1" x14ac:dyDescent="0.45">
      <c r="B32" s="33" t="s">
        <v>267</v>
      </c>
      <c r="C32" s="34" t="s">
        <v>268</v>
      </c>
      <c r="D32" s="35">
        <v>8728501153</v>
      </c>
      <c r="E32" s="4" t="str">
        <f>LEFT(D32,3)</f>
        <v>872</v>
      </c>
      <c r="F32" s="4" t="str">
        <f>MID(D32,4,2)</f>
        <v>85</v>
      </c>
      <c r="G32" s="4" t="str">
        <f>RIGHT(D32,5)</f>
        <v>01153</v>
      </c>
      <c r="H32" s="13">
        <f>IFERROR(VLOOKUP($B32,'SAP 금액'!$A:$C,2,0),0)</f>
        <v>0</v>
      </c>
      <c r="I32" s="13">
        <f>IFERROR(VLOOKUP($B32,'SAP 금액'!$A:$C,3,0),0)</f>
        <v>0</v>
      </c>
      <c r="J32" s="13">
        <f>IFERROR(VLOOKUP(B32,'SAP 금액'!E:F,2,0),0)</f>
        <v>0</v>
      </c>
      <c r="K32" s="13">
        <f>VLOOKUP($B32,'국세청 금액'!$A:$C,2,0)</f>
        <v>59168889</v>
      </c>
      <c r="L32" s="13">
        <f>VLOOKUP($B32,'국세청 금액'!$A:$C,3,0)</f>
        <v>5916889</v>
      </c>
      <c r="M32" s="13">
        <f>VLOOKUP(B32,'국세청 금액'!A:F,6,0)</f>
        <v>0</v>
      </c>
      <c r="N32" s="14">
        <f>K32-H32</f>
        <v>59168889</v>
      </c>
      <c r="O32" s="14">
        <f>L32-I32</f>
        <v>5916889</v>
      </c>
      <c r="P32" s="14">
        <f>M32-J32</f>
        <v>0</v>
      </c>
      <c r="Q32" s="4" t="b">
        <f>AND(N32&lt;&gt;0,O32&lt;&gt;0)</f>
        <v>1</v>
      </c>
      <c r="R32" s="4" t="b">
        <f>P32&lt;&gt;0</f>
        <v>0</v>
      </c>
    </row>
    <row r="33" spans="2:18" ht="18" thickBot="1" x14ac:dyDescent="0.45">
      <c r="B33" s="33" t="s">
        <v>269</v>
      </c>
      <c r="C33" s="34" t="s">
        <v>270</v>
      </c>
      <c r="D33" s="35">
        <v>1308569632</v>
      </c>
      <c r="E33" s="4" t="str">
        <f>LEFT(D33,3)</f>
        <v>130</v>
      </c>
      <c r="F33" s="4" t="str">
        <f>MID(D33,4,2)</f>
        <v>85</v>
      </c>
      <c r="G33" s="4" t="str">
        <f>RIGHT(D33,5)</f>
        <v>69632</v>
      </c>
      <c r="H33" s="13">
        <f>IFERROR(VLOOKUP($B33,'SAP 금액'!$A:$C,2,0),0)</f>
        <v>0</v>
      </c>
      <c r="I33" s="13">
        <f>IFERROR(VLOOKUP($B33,'SAP 금액'!$A:$C,3,0),0)</f>
        <v>0</v>
      </c>
      <c r="J33" s="13">
        <f>IFERROR(VLOOKUP(B33,'SAP 금액'!E:F,2,0),0)</f>
        <v>0</v>
      </c>
      <c r="K33" s="13">
        <f>VLOOKUP($B33,'국세청 금액'!$A:$C,2,0)</f>
        <v>62069802</v>
      </c>
      <c r="L33" s="13">
        <f>VLOOKUP($B33,'국세청 금액'!$A:$C,3,0)</f>
        <v>6206979</v>
      </c>
      <c r="M33" s="13">
        <f>VLOOKUP(B33,'국세청 금액'!A:F,6,0)</f>
        <v>0</v>
      </c>
      <c r="N33" s="14">
        <f>K33-H33</f>
        <v>62069802</v>
      </c>
      <c r="O33" s="14">
        <f>L33-I33</f>
        <v>6206979</v>
      </c>
      <c r="P33" s="14">
        <f>M33-J33</f>
        <v>0</v>
      </c>
      <c r="Q33" s="4" t="b">
        <f>AND(N33&lt;&gt;0,O33&lt;&gt;0)</f>
        <v>1</v>
      </c>
      <c r="R33" s="4" t="b">
        <f>P33&lt;&gt;0</f>
        <v>0</v>
      </c>
    </row>
    <row r="34" spans="2:18" ht="18" thickBot="1" x14ac:dyDescent="0.45">
      <c r="B34" s="33" t="s">
        <v>271</v>
      </c>
      <c r="C34" s="34" t="s">
        <v>272</v>
      </c>
      <c r="D34" s="35">
        <v>7138501228</v>
      </c>
      <c r="E34" s="4" t="str">
        <f>LEFT(D34,3)</f>
        <v>713</v>
      </c>
      <c r="F34" s="4" t="str">
        <f>MID(D34,4,2)</f>
        <v>85</v>
      </c>
      <c r="G34" s="4" t="str">
        <f>RIGHT(D34,5)</f>
        <v>01228</v>
      </c>
      <c r="H34" s="13">
        <f>IFERROR(VLOOKUP($B34,'SAP 금액'!$A:$C,2,0),0)</f>
        <v>0</v>
      </c>
      <c r="I34" s="13">
        <f>IFERROR(VLOOKUP($B34,'SAP 금액'!$A:$C,3,0),0)</f>
        <v>0</v>
      </c>
      <c r="J34" s="13">
        <f>IFERROR(VLOOKUP(B34,'SAP 금액'!E:F,2,0),0)</f>
        <v>0</v>
      </c>
      <c r="K34" s="13">
        <f>VLOOKUP($B34,'국세청 금액'!$A:$C,2,0)</f>
        <v>27941286</v>
      </c>
      <c r="L34" s="13">
        <f>VLOOKUP($B34,'국세청 금액'!$A:$C,3,0)</f>
        <v>2794095</v>
      </c>
      <c r="M34" s="13">
        <f>VLOOKUP(B34,'국세청 금액'!A:F,6,0)</f>
        <v>267600</v>
      </c>
      <c r="N34" s="14">
        <f>K34-H34</f>
        <v>27941286</v>
      </c>
      <c r="O34" s="14">
        <f>L34-I34</f>
        <v>2794095</v>
      </c>
      <c r="P34" s="14">
        <f>M34-J34</f>
        <v>267600</v>
      </c>
      <c r="Q34" s="4" t="b">
        <f>AND(N34&lt;&gt;0,O34&lt;&gt;0)</f>
        <v>1</v>
      </c>
      <c r="R34" s="4" t="b">
        <f>P34&lt;&gt;0</f>
        <v>1</v>
      </c>
    </row>
    <row r="35" spans="2:18" ht="18" thickBot="1" x14ac:dyDescent="0.45">
      <c r="B35" s="33" t="s">
        <v>273</v>
      </c>
      <c r="C35" s="34" t="s">
        <v>274</v>
      </c>
      <c r="D35" s="35">
        <v>1818501251</v>
      </c>
      <c r="E35" s="4" t="str">
        <f>LEFT(D35,3)</f>
        <v>181</v>
      </c>
      <c r="F35" s="4" t="str">
        <f>MID(D35,4,2)</f>
        <v>85</v>
      </c>
      <c r="G35" s="4" t="str">
        <f>RIGHT(D35,5)</f>
        <v>01251</v>
      </c>
      <c r="H35" s="13">
        <f>IFERROR(VLOOKUP($B35,'SAP 금액'!$A:$C,2,0),0)</f>
        <v>0</v>
      </c>
      <c r="I35" s="13">
        <f>IFERROR(VLOOKUP($B35,'SAP 금액'!$A:$C,3,0),0)</f>
        <v>0</v>
      </c>
      <c r="J35" s="13">
        <f>IFERROR(VLOOKUP(B35,'SAP 금액'!E:F,2,0),0)</f>
        <v>0</v>
      </c>
      <c r="K35" s="13">
        <f>VLOOKUP($B35,'국세청 금액'!$A:$C,2,0)</f>
        <v>15788011</v>
      </c>
      <c r="L35" s="13">
        <f>VLOOKUP($B35,'국세청 금액'!$A:$C,3,0)</f>
        <v>1578599</v>
      </c>
      <c r="M35" s="13">
        <f>VLOOKUP(B35,'국세청 금액'!A:F,6,0)</f>
        <v>0</v>
      </c>
      <c r="N35" s="14">
        <f>K35-H35</f>
        <v>15788011</v>
      </c>
      <c r="O35" s="14">
        <f>L35-I35</f>
        <v>1578599</v>
      </c>
      <c r="P35" s="14">
        <f>M35-J35</f>
        <v>0</v>
      </c>
      <c r="Q35" s="4" t="b">
        <f>AND(N35&lt;&gt;0,O35&lt;&gt;0)</f>
        <v>1</v>
      </c>
      <c r="R35" s="4" t="b">
        <f>P35&lt;&gt;0</f>
        <v>0</v>
      </c>
    </row>
    <row r="36" spans="2:18" ht="18" thickBot="1" x14ac:dyDescent="0.45">
      <c r="B36" s="33" t="s">
        <v>275</v>
      </c>
      <c r="C36" s="34" t="s">
        <v>276</v>
      </c>
      <c r="D36" s="35">
        <v>3998501186</v>
      </c>
      <c r="E36" s="4" t="str">
        <f>LEFT(D36,3)</f>
        <v>399</v>
      </c>
      <c r="F36" s="4" t="str">
        <f>MID(D36,4,2)</f>
        <v>85</v>
      </c>
      <c r="G36" s="4" t="str">
        <f>RIGHT(D36,5)</f>
        <v>01186</v>
      </c>
      <c r="H36" s="13">
        <f>IFERROR(VLOOKUP($B36,'SAP 금액'!$A:$C,2,0),0)</f>
        <v>0</v>
      </c>
      <c r="I36" s="13">
        <f>IFERROR(VLOOKUP($B36,'SAP 금액'!$A:$C,3,0),0)</f>
        <v>0</v>
      </c>
      <c r="J36" s="13">
        <f>IFERROR(VLOOKUP(B36,'SAP 금액'!E:F,2,0),0)</f>
        <v>0</v>
      </c>
      <c r="K36" s="13">
        <f>VLOOKUP($B36,'국세청 금액'!$A:$C,2,0)</f>
        <v>7661398</v>
      </c>
      <c r="L36" s="13">
        <f>VLOOKUP($B36,'국세청 금액'!$A:$C,3,0)</f>
        <v>766141</v>
      </c>
      <c r="M36" s="13">
        <f>VLOOKUP(B36,'국세청 금액'!A:F,6,0)</f>
        <v>40000</v>
      </c>
      <c r="N36" s="14">
        <f>K36-H36</f>
        <v>7661398</v>
      </c>
      <c r="O36" s="14">
        <f>L36-I36</f>
        <v>766141</v>
      </c>
      <c r="P36" s="14">
        <f>M36-J36</f>
        <v>40000</v>
      </c>
      <c r="Q36" s="4" t="b">
        <f>AND(N36&lt;&gt;0,O36&lt;&gt;0)</f>
        <v>1</v>
      </c>
      <c r="R36" s="4" t="b">
        <f>P36&lt;&gt;0</f>
        <v>1</v>
      </c>
    </row>
    <row r="37" spans="2:18" s="25" customFormat="1" ht="18" thickBot="1" x14ac:dyDescent="0.45">
      <c r="B37" s="33" t="s">
        <v>277</v>
      </c>
      <c r="C37" s="34" t="s">
        <v>278</v>
      </c>
      <c r="D37" s="35">
        <v>3608501193</v>
      </c>
      <c r="E37" s="22" t="str">
        <f>LEFT(D37,3)</f>
        <v>360</v>
      </c>
      <c r="F37" s="22" t="str">
        <f>MID(D37,4,2)</f>
        <v>85</v>
      </c>
      <c r="G37" s="22" t="str">
        <f>RIGHT(D37,5)</f>
        <v>01193</v>
      </c>
      <c r="H37" s="23">
        <f>IFERROR(VLOOKUP($B37,'SAP 금액'!$A:$C,2,0),0)</f>
        <v>0</v>
      </c>
      <c r="I37" s="23">
        <f>IFERROR(VLOOKUP($B37,'SAP 금액'!$A:$C,3,0),0)</f>
        <v>0</v>
      </c>
      <c r="J37" s="23">
        <f>IFERROR(VLOOKUP(B37,'SAP 금액'!E:F,2,0),0)</f>
        <v>0</v>
      </c>
      <c r="K37" s="23">
        <f>VLOOKUP($B37,'국세청 금액'!$A:$C,2,0)</f>
        <v>8077481</v>
      </c>
      <c r="L37" s="23">
        <f>VLOOKUP($B37,'국세청 금액'!$A:$C,3,0)</f>
        <v>807748</v>
      </c>
      <c r="M37" s="13">
        <f>VLOOKUP(B37,'국세청 금액'!A:F,6,0)</f>
        <v>68000</v>
      </c>
      <c r="N37" s="24">
        <f>K37-H37</f>
        <v>8077481</v>
      </c>
      <c r="O37" s="24">
        <f>L37-I37</f>
        <v>807748</v>
      </c>
      <c r="P37" s="24">
        <f>M37-J37</f>
        <v>68000</v>
      </c>
      <c r="Q37" s="22" t="b">
        <f>AND(N37&lt;&gt;0,O37&lt;&gt;0)</f>
        <v>1</v>
      </c>
      <c r="R37" s="22" t="b">
        <f>P37&lt;&gt;0</f>
        <v>1</v>
      </c>
    </row>
    <row r="38" spans="2:18" ht="18" thickBot="1" x14ac:dyDescent="0.45">
      <c r="B38" s="33" t="s">
        <v>279</v>
      </c>
      <c r="C38" s="34" t="s">
        <v>280</v>
      </c>
      <c r="D38" s="35">
        <v>7458501171</v>
      </c>
      <c r="E38" s="4" t="str">
        <f>LEFT(D38,3)</f>
        <v>745</v>
      </c>
      <c r="F38" s="4" t="str">
        <f>MID(D38,4,2)</f>
        <v>85</v>
      </c>
      <c r="G38" s="4" t="str">
        <f>RIGHT(D38,5)</f>
        <v>01171</v>
      </c>
      <c r="H38" s="13">
        <f>IFERROR(VLOOKUP($B38,'SAP 금액'!$A:$C,2,0),0)</f>
        <v>0</v>
      </c>
      <c r="I38" s="13">
        <f>IFERROR(VLOOKUP($B38,'SAP 금액'!$A:$C,3,0),0)</f>
        <v>0</v>
      </c>
      <c r="J38" s="13">
        <f>IFERROR(VLOOKUP(B38,'SAP 금액'!E:F,2,0),0)</f>
        <v>0</v>
      </c>
      <c r="K38" s="13">
        <f>VLOOKUP($B38,'국세청 금액'!$A:$C,2,0)</f>
        <v>27925050</v>
      </c>
      <c r="L38" s="13">
        <f>VLOOKUP($B38,'국세청 금액'!$A:$C,3,0)</f>
        <v>2792494</v>
      </c>
      <c r="M38" s="13">
        <f>VLOOKUP(B38,'국세청 금액'!A:F,6,0)</f>
        <v>0</v>
      </c>
      <c r="N38" s="14">
        <f>K38-H38</f>
        <v>27925050</v>
      </c>
      <c r="O38" s="14">
        <f>L38-I38</f>
        <v>2792494</v>
      </c>
      <c r="P38" s="14">
        <f>M38-J38</f>
        <v>0</v>
      </c>
      <c r="Q38" s="4" t="b">
        <f>AND(N38&lt;&gt;0,O38&lt;&gt;0)</f>
        <v>1</v>
      </c>
      <c r="R38" s="4" t="b">
        <f>P38&lt;&gt;0</f>
        <v>0</v>
      </c>
    </row>
    <row r="39" spans="2:18" ht="18" thickBot="1" x14ac:dyDescent="0.45">
      <c r="B39" s="33" t="s">
        <v>281</v>
      </c>
      <c r="C39" s="34" t="s">
        <v>282</v>
      </c>
      <c r="D39" s="35">
        <v>7348501278</v>
      </c>
      <c r="E39" s="4" t="str">
        <f>LEFT(D39,3)</f>
        <v>734</v>
      </c>
      <c r="F39" s="4" t="str">
        <f>MID(D39,4,2)</f>
        <v>85</v>
      </c>
      <c r="G39" s="4" t="str">
        <f>RIGHT(D39,5)</f>
        <v>01278</v>
      </c>
      <c r="H39" s="13">
        <f>IFERROR(VLOOKUP($B39,'SAP 금액'!$A:$C,2,0),0)</f>
        <v>0</v>
      </c>
      <c r="I39" s="13">
        <f>IFERROR(VLOOKUP($B39,'SAP 금액'!$A:$C,3,0),0)</f>
        <v>0</v>
      </c>
      <c r="J39" s="13">
        <f>IFERROR(VLOOKUP(B39,'SAP 금액'!E:F,2,0),0)</f>
        <v>0</v>
      </c>
      <c r="K39" s="13">
        <f>VLOOKUP($B39,'국세청 금액'!$A:$C,2,0)</f>
        <v>17698122</v>
      </c>
      <c r="L39" s="13">
        <f>VLOOKUP($B39,'국세청 금액'!$A:$C,3,0)</f>
        <v>1769811</v>
      </c>
      <c r="M39" s="13">
        <f>VLOOKUP(B39,'국세청 금액'!A:F,6,0)</f>
        <v>0</v>
      </c>
      <c r="N39" s="14">
        <f>K39-H39</f>
        <v>17698122</v>
      </c>
      <c r="O39" s="14">
        <f>L39-I39</f>
        <v>1769811</v>
      </c>
      <c r="P39" s="14">
        <f>M39-J39</f>
        <v>0</v>
      </c>
      <c r="Q39" s="4" t="b">
        <f>AND(N39&lt;&gt;0,O39&lt;&gt;0)</f>
        <v>1</v>
      </c>
      <c r="R39" s="4" t="b">
        <f>P39&lt;&gt;0</f>
        <v>0</v>
      </c>
    </row>
    <row r="40" spans="2:18" ht="18" thickBot="1" x14ac:dyDescent="0.45">
      <c r="B40" s="33" t="s">
        <v>283</v>
      </c>
      <c r="C40" s="34" t="s">
        <v>284</v>
      </c>
      <c r="D40" s="35">
        <v>5978501214</v>
      </c>
      <c r="E40" s="4" t="str">
        <f>LEFT(D40,3)</f>
        <v>597</v>
      </c>
      <c r="F40" s="4" t="str">
        <f>MID(D40,4,2)</f>
        <v>85</v>
      </c>
      <c r="G40" s="4" t="str">
        <f>RIGHT(D40,5)</f>
        <v>01214</v>
      </c>
      <c r="H40" s="13">
        <f>IFERROR(VLOOKUP($B40,'SAP 금액'!$A:$C,2,0),0)</f>
        <v>0</v>
      </c>
      <c r="I40" s="13">
        <f>IFERROR(VLOOKUP($B40,'SAP 금액'!$A:$C,3,0),0)</f>
        <v>0</v>
      </c>
      <c r="J40" s="13">
        <f>IFERROR(VLOOKUP(B40,'SAP 금액'!E:F,2,0),0)</f>
        <v>0</v>
      </c>
      <c r="K40" s="13">
        <f>VLOOKUP($B40,'국세청 금액'!$A:$C,2,0)</f>
        <v>9090562</v>
      </c>
      <c r="L40" s="13">
        <f>VLOOKUP($B40,'국세청 금액'!$A:$C,3,0)</f>
        <v>909055</v>
      </c>
      <c r="M40" s="13">
        <f>VLOOKUP(B40,'국세청 금액'!A:F,6,0)</f>
        <v>0</v>
      </c>
      <c r="N40" s="14">
        <f>K40-H40</f>
        <v>9090562</v>
      </c>
      <c r="O40" s="14">
        <f>L40-I40</f>
        <v>909055</v>
      </c>
      <c r="P40" s="14">
        <f>M40-J40</f>
        <v>0</v>
      </c>
      <c r="Q40" s="4" t="b">
        <f>AND(N40&lt;&gt;0,O40&lt;&gt;0)</f>
        <v>1</v>
      </c>
      <c r="R40" s="4" t="b">
        <f>P40&lt;&gt;0</f>
        <v>0</v>
      </c>
    </row>
    <row r="41" spans="2:18" ht="18" thickBot="1" x14ac:dyDescent="0.45">
      <c r="B41" s="33" t="s">
        <v>285</v>
      </c>
      <c r="C41" s="34" t="s">
        <v>286</v>
      </c>
      <c r="D41" s="35">
        <v>8488500923</v>
      </c>
      <c r="E41" s="4" t="str">
        <f>LEFT(D41,3)</f>
        <v>848</v>
      </c>
      <c r="F41" s="4" t="str">
        <f>MID(D41,4,2)</f>
        <v>85</v>
      </c>
      <c r="G41" s="4" t="str">
        <f>RIGHT(D41,5)</f>
        <v>00923</v>
      </c>
      <c r="H41" s="13">
        <f>IFERROR(VLOOKUP($B41,'SAP 금액'!$A:$C,2,0),0)</f>
        <v>0</v>
      </c>
      <c r="I41" s="13">
        <f>IFERROR(VLOOKUP($B41,'SAP 금액'!$A:$C,3,0),0)</f>
        <v>0</v>
      </c>
      <c r="J41" s="13">
        <f>IFERROR(VLOOKUP(B41,'SAP 금액'!E:F,2,0),0)</f>
        <v>0</v>
      </c>
      <c r="K41" s="13">
        <f>VLOOKUP($B41,'국세청 금액'!$A:$C,2,0)</f>
        <v>35328729</v>
      </c>
      <c r="L41" s="13">
        <f>VLOOKUP($B41,'국세청 금액'!$A:$C,3,0)</f>
        <v>3532859</v>
      </c>
      <c r="M41" s="13">
        <f>VLOOKUP(B41,'국세청 금액'!A:F,6,0)</f>
        <v>0</v>
      </c>
      <c r="N41" s="14">
        <f>K41-H41</f>
        <v>35328729</v>
      </c>
      <c r="O41" s="14">
        <f>L41-I41</f>
        <v>3532859</v>
      </c>
      <c r="P41" s="14">
        <f>M41-J41</f>
        <v>0</v>
      </c>
      <c r="Q41" s="4" t="b">
        <f>AND(N41&lt;&gt;0,O41&lt;&gt;0)</f>
        <v>1</v>
      </c>
      <c r="R41" s="4" t="b">
        <f>P41&lt;&gt;0</f>
        <v>0</v>
      </c>
    </row>
    <row r="42" spans="2:18" ht="18" thickBot="1" x14ac:dyDescent="0.45">
      <c r="B42" s="33" t="s">
        <v>287</v>
      </c>
      <c r="C42" s="34" t="s">
        <v>288</v>
      </c>
      <c r="D42" s="35">
        <v>4748501231</v>
      </c>
      <c r="E42" s="4" t="str">
        <f>LEFT(D42,3)</f>
        <v>474</v>
      </c>
      <c r="F42" s="4" t="str">
        <f>MID(D42,4,2)</f>
        <v>85</v>
      </c>
      <c r="G42" s="4" t="str">
        <f>RIGHT(D42,5)</f>
        <v>01231</v>
      </c>
      <c r="H42" s="13">
        <f>IFERROR(VLOOKUP($B42,'SAP 금액'!$A:$C,2,0),0)</f>
        <v>0</v>
      </c>
      <c r="I42" s="13">
        <f>IFERROR(VLOOKUP($B42,'SAP 금액'!$A:$C,3,0),0)</f>
        <v>0</v>
      </c>
      <c r="J42" s="13">
        <f>IFERROR(VLOOKUP(B42,'SAP 금액'!E:F,2,0),0)</f>
        <v>0</v>
      </c>
      <c r="K42" s="13">
        <f>VLOOKUP($B42,'국세청 금액'!$A:$C,2,0)</f>
        <v>52422180</v>
      </c>
      <c r="L42" s="13">
        <f>VLOOKUP($B42,'국세청 금액'!$A:$C,3,0)</f>
        <v>5241945</v>
      </c>
      <c r="M42" s="13">
        <f>VLOOKUP(B42,'국세청 금액'!A:F,6,0)</f>
        <v>200000</v>
      </c>
      <c r="N42" s="14">
        <f>K42-H42</f>
        <v>52422180</v>
      </c>
      <c r="O42" s="14">
        <f>L42-I42</f>
        <v>5241945</v>
      </c>
      <c r="P42" s="14">
        <f>M42-J42</f>
        <v>200000</v>
      </c>
      <c r="Q42" s="4" t="b">
        <f>AND(N42&lt;&gt;0,O42&lt;&gt;0)</f>
        <v>1</v>
      </c>
      <c r="R42" s="4" t="b">
        <f>P42&lt;&gt;0</f>
        <v>1</v>
      </c>
    </row>
    <row r="43" spans="2:18" ht="18" thickBot="1" x14ac:dyDescent="0.45">
      <c r="B43" s="33" t="s">
        <v>289</v>
      </c>
      <c r="C43" s="34" t="s">
        <v>290</v>
      </c>
      <c r="D43" s="35">
        <v>2498501052</v>
      </c>
      <c r="E43" s="4" t="str">
        <f>LEFT(D43,3)</f>
        <v>249</v>
      </c>
      <c r="F43" s="4" t="str">
        <f>MID(D43,4,2)</f>
        <v>85</v>
      </c>
      <c r="G43" s="4" t="str">
        <f>RIGHT(D43,5)</f>
        <v>01052</v>
      </c>
      <c r="H43" s="13">
        <f>IFERROR(VLOOKUP($B43,'SAP 금액'!$A:$C,2,0),0)</f>
        <v>0</v>
      </c>
      <c r="I43" s="13">
        <f>IFERROR(VLOOKUP($B43,'SAP 금액'!$A:$C,3,0),0)</f>
        <v>0</v>
      </c>
      <c r="J43" s="13">
        <f>IFERROR(VLOOKUP(B43,'SAP 금액'!E:F,2,0),0)</f>
        <v>0</v>
      </c>
      <c r="K43" s="13">
        <f>VLOOKUP($B43,'국세청 금액'!$A:$C,2,0)</f>
        <v>36067975</v>
      </c>
      <c r="L43" s="13">
        <f>VLOOKUP($B43,'국세청 금액'!$A:$C,3,0)</f>
        <v>3606786</v>
      </c>
      <c r="M43" s="13">
        <f>VLOOKUP(B43,'국세청 금액'!A:F,6,0)</f>
        <v>744000</v>
      </c>
      <c r="N43" s="14">
        <f>K43-H43</f>
        <v>36067975</v>
      </c>
      <c r="O43" s="14">
        <f>L43-I43</f>
        <v>3606786</v>
      </c>
      <c r="P43" s="14">
        <f>M43-J43</f>
        <v>744000</v>
      </c>
      <c r="Q43" s="4" t="b">
        <f>AND(N43&lt;&gt;0,O43&lt;&gt;0)</f>
        <v>1</v>
      </c>
      <c r="R43" s="4" t="b">
        <f>P43&lt;&gt;0</f>
        <v>1</v>
      </c>
    </row>
    <row r="44" spans="2:18" ht="18" thickBot="1" x14ac:dyDescent="0.45">
      <c r="B44" s="33" t="s">
        <v>291</v>
      </c>
      <c r="C44" s="34" t="s">
        <v>292</v>
      </c>
      <c r="D44" s="35">
        <v>4948501292</v>
      </c>
      <c r="E44" s="4" t="str">
        <f>LEFT(D44,3)</f>
        <v>494</v>
      </c>
      <c r="F44" s="4" t="str">
        <f>MID(D44,4,2)</f>
        <v>85</v>
      </c>
      <c r="G44" s="4" t="str">
        <f>RIGHT(D44,5)</f>
        <v>01292</v>
      </c>
      <c r="H44" s="13">
        <f>IFERROR(VLOOKUP($B44,'SAP 금액'!$A:$C,2,0),0)</f>
        <v>0</v>
      </c>
      <c r="I44" s="13">
        <f>IFERROR(VLOOKUP($B44,'SAP 금액'!$A:$C,3,0),0)</f>
        <v>0</v>
      </c>
      <c r="J44" s="13">
        <f>IFERROR(VLOOKUP(B44,'SAP 금액'!E:F,2,0),0)</f>
        <v>0</v>
      </c>
      <c r="K44" s="13">
        <f>VLOOKUP($B44,'국세청 금액'!$A:$C,2,0)</f>
        <v>58141194</v>
      </c>
      <c r="L44" s="13">
        <f>VLOOKUP($B44,'국세청 금액'!$A:$C,3,0)</f>
        <v>5814116</v>
      </c>
      <c r="M44" s="13">
        <f>VLOOKUP(B44,'국세청 금액'!A:F,6,0)</f>
        <v>80000</v>
      </c>
      <c r="N44" s="14">
        <f>K44-H44</f>
        <v>58141194</v>
      </c>
      <c r="O44" s="14">
        <f>L44-I44</f>
        <v>5814116</v>
      </c>
      <c r="P44" s="14">
        <f>M44-J44</f>
        <v>80000</v>
      </c>
      <c r="Q44" s="4" t="b">
        <f>AND(N44&lt;&gt;0,O44&lt;&gt;0)</f>
        <v>1</v>
      </c>
      <c r="R44" s="4" t="b">
        <f>P44&lt;&gt;0</f>
        <v>1</v>
      </c>
    </row>
    <row r="45" spans="2:18" ht="18" thickBot="1" x14ac:dyDescent="0.45">
      <c r="B45" s="33" t="s">
        <v>293</v>
      </c>
      <c r="C45" s="34" t="s">
        <v>294</v>
      </c>
      <c r="D45" s="35">
        <v>6438501313</v>
      </c>
      <c r="E45" s="4" t="str">
        <f>LEFT(D45,3)</f>
        <v>643</v>
      </c>
      <c r="F45" s="4" t="str">
        <f>MID(D45,4,2)</f>
        <v>85</v>
      </c>
      <c r="G45" s="4" t="str">
        <f>RIGHT(D45,5)</f>
        <v>01313</v>
      </c>
      <c r="H45" s="13">
        <f>IFERROR(VLOOKUP($B45,'SAP 금액'!$A:$C,2,0),0)</f>
        <v>0</v>
      </c>
      <c r="I45" s="13">
        <f>IFERROR(VLOOKUP($B45,'SAP 금액'!$A:$C,3,0),0)</f>
        <v>0</v>
      </c>
      <c r="J45" s="13">
        <f>IFERROR(VLOOKUP(B45,'SAP 금액'!E:F,2,0),0)</f>
        <v>0</v>
      </c>
      <c r="K45" s="13">
        <f>VLOOKUP($B45,'국세청 금액'!$A:$C,2,0)</f>
        <v>423447</v>
      </c>
      <c r="L45" s="13">
        <f>VLOOKUP($B45,'국세청 금액'!$A:$C,3,0)</f>
        <v>42344</v>
      </c>
      <c r="M45" s="13">
        <f>VLOOKUP(B45,'국세청 금액'!A:F,6,0)</f>
        <v>50000</v>
      </c>
      <c r="N45" s="14">
        <f>K45-H45</f>
        <v>423447</v>
      </c>
      <c r="O45" s="14">
        <f>L45-I45</f>
        <v>42344</v>
      </c>
      <c r="P45" s="14">
        <f>M45-J45</f>
        <v>50000</v>
      </c>
      <c r="Q45" s="4" t="b">
        <f>AND(N45&lt;&gt;0,O45&lt;&gt;0)</f>
        <v>1</v>
      </c>
      <c r="R45" s="4" t="b">
        <f>P45&lt;&gt;0</f>
        <v>1</v>
      </c>
    </row>
    <row r="46" spans="2:18" ht="18" thickBot="1" x14ac:dyDescent="0.45">
      <c r="B46" s="33" t="s">
        <v>295</v>
      </c>
      <c r="C46" s="34" t="s">
        <v>296</v>
      </c>
      <c r="D46" s="35">
        <v>1068544773</v>
      </c>
      <c r="E46" s="4" t="str">
        <f>LEFT(D46,3)</f>
        <v>106</v>
      </c>
      <c r="F46" s="4" t="str">
        <f>MID(D46,4,2)</f>
        <v>85</v>
      </c>
      <c r="G46" s="4" t="str">
        <f>RIGHT(D46,5)</f>
        <v>44773</v>
      </c>
      <c r="H46" s="13">
        <f>IFERROR(VLOOKUP($B46,'SAP 금액'!$A:$C,2,0),0)</f>
        <v>0</v>
      </c>
      <c r="I46" s="13">
        <f>IFERROR(VLOOKUP($B46,'SAP 금액'!$A:$C,3,0),0)</f>
        <v>0</v>
      </c>
      <c r="J46" s="13">
        <f>IFERROR(VLOOKUP(B46,'SAP 금액'!E:F,2,0),0)</f>
        <v>0</v>
      </c>
      <c r="K46" s="13">
        <f>VLOOKUP($B46,'국세청 금액'!$A:$C,2,0)</f>
        <v>25509763</v>
      </c>
      <c r="L46" s="13">
        <f>VLOOKUP($B46,'국세청 금액'!$A:$C,3,0)</f>
        <v>2550972</v>
      </c>
      <c r="M46" s="13">
        <f>VLOOKUP(B46,'국세청 금액'!A:F,6,0)</f>
        <v>0</v>
      </c>
      <c r="N46" s="14">
        <f>K46-H46</f>
        <v>25509763</v>
      </c>
      <c r="O46" s="14">
        <f>L46-I46</f>
        <v>2550972</v>
      </c>
      <c r="P46" s="14">
        <f>M46-J46</f>
        <v>0</v>
      </c>
      <c r="Q46" s="4" t="b">
        <f>AND(N46&lt;&gt;0,O46&lt;&gt;0)</f>
        <v>1</v>
      </c>
      <c r="R46" s="4" t="b">
        <f>P46&lt;&gt;0</f>
        <v>0</v>
      </c>
    </row>
    <row r="47" spans="2:18" ht="18" thickBot="1" x14ac:dyDescent="0.45">
      <c r="B47" s="33" t="s">
        <v>297</v>
      </c>
      <c r="C47" s="34" t="s">
        <v>298</v>
      </c>
      <c r="D47" s="35">
        <v>6318501227</v>
      </c>
      <c r="E47" s="4" t="str">
        <f>LEFT(D47,3)</f>
        <v>631</v>
      </c>
      <c r="F47" s="4" t="str">
        <f>MID(D47,4,2)</f>
        <v>85</v>
      </c>
      <c r="G47" s="4" t="str">
        <f>RIGHT(D47,5)</f>
        <v>01227</v>
      </c>
      <c r="H47" s="13">
        <f>IFERROR(VLOOKUP($B47,'SAP 금액'!$A:$C,2,0),0)</f>
        <v>0</v>
      </c>
      <c r="I47" s="13">
        <f>IFERROR(VLOOKUP($B47,'SAP 금액'!$A:$C,3,0),0)</f>
        <v>0</v>
      </c>
      <c r="J47" s="13">
        <f>IFERROR(VLOOKUP(B47,'SAP 금액'!E:F,2,0),0)</f>
        <v>0</v>
      </c>
      <c r="K47" s="13">
        <f>VLOOKUP($B47,'국세청 금액'!$A:$C,2,0)</f>
        <v>75497516</v>
      </c>
      <c r="L47" s="13">
        <f>VLOOKUP($B47,'국세청 금액'!$A:$C,3,0)</f>
        <v>7549758</v>
      </c>
      <c r="M47" s="13">
        <f>VLOOKUP(B47,'국세청 금액'!A:F,6,0)</f>
        <v>0</v>
      </c>
      <c r="N47" s="14">
        <f>K47-H47</f>
        <v>75497516</v>
      </c>
      <c r="O47" s="14">
        <f>L47-I47</f>
        <v>7549758</v>
      </c>
      <c r="P47" s="14">
        <f>M47-J47</f>
        <v>0</v>
      </c>
      <c r="Q47" s="4" t="b">
        <f>AND(N47&lt;&gt;0,O47&lt;&gt;0)</f>
        <v>1</v>
      </c>
      <c r="R47" s="4" t="b">
        <f>P47&lt;&gt;0</f>
        <v>0</v>
      </c>
    </row>
    <row r="48" spans="2:18" ht="18" thickBot="1" x14ac:dyDescent="0.45">
      <c r="B48" s="33" t="s">
        <v>299</v>
      </c>
      <c r="C48" s="34" t="s">
        <v>300</v>
      </c>
      <c r="D48" s="35">
        <v>5958501182</v>
      </c>
      <c r="E48" s="4" t="str">
        <f>LEFT(D48,3)</f>
        <v>595</v>
      </c>
      <c r="F48" s="4" t="str">
        <f>MID(D48,4,2)</f>
        <v>85</v>
      </c>
      <c r="G48" s="4" t="str">
        <f>RIGHT(D48,5)</f>
        <v>01182</v>
      </c>
      <c r="H48" s="13">
        <f>IFERROR(VLOOKUP($B48,'SAP 금액'!$A:$C,2,0),0)</f>
        <v>0</v>
      </c>
      <c r="I48" s="13">
        <f>IFERROR(VLOOKUP($B48,'SAP 금액'!$A:$C,3,0),0)</f>
        <v>0</v>
      </c>
      <c r="J48" s="13">
        <f>IFERROR(VLOOKUP(B48,'SAP 금액'!E:F,2,0),0)</f>
        <v>0</v>
      </c>
      <c r="K48" s="13">
        <f>VLOOKUP($B48,'국세청 금액'!$A:$C,2,0)</f>
        <v>11479737</v>
      </c>
      <c r="L48" s="13">
        <f>VLOOKUP($B48,'국세청 금액'!$A:$C,3,0)</f>
        <v>1147764</v>
      </c>
      <c r="M48" s="13">
        <f>VLOOKUP(B48,'국세청 금액'!A:F,6,0)</f>
        <v>0</v>
      </c>
      <c r="N48" s="14">
        <f>K48-H48</f>
        <v>11479737</v>
      </c>
      <c r="O48" s="14">
        <f>L48-I48</f>
        <v>1147764</v>
      </c>
      <c r="P48" s="14">
        <f>M48-J48</f>
        <v>0</v>
      </c>
      <c r="Q48" s="4" t="b">
        <f>AND(N48&lt;&gt;0,O48&lt;&gt;0)</f>
        <v>1</v>
      </c>
      <c r="R48" s="4" t="b">
        <f>P48&lt;&gt;0</f>
        <v>0</v>
      </c>
    </row>
    <row r="49" spans="2:18" ht="18" thickBot="1" x14ac:dyDescent="0.45">
      <c r="B49" s="33" t="s">
        <v>301</v>
      </c>
      <c r="C49" s="34" t="s">
        <v>302</v>
      </c>
      <c r="D49" s="35">
        <v>8038501287</v>
      </c>
      <c r="E49" s="4" t="str">
        <f>LEFT(D49,3)</f>
        <v>803</v>
      </c>
      <c r="F49" s="4" t="str">
        <f>MID(D49,4,2)</f>
        <v>85</v>
      </c>
      <c r="G49" s="4" t="str">
        <f>RIGHT(D49,5)</f>
        <v>01287</v>
      </c>
      <c r="H49" s="13">
        <f>IFERROR(VLOOKUP($B49,'SAP 금액'!$A:$C,2,0),0)</f>
        <v>0</v>
      </c>
      <c r="I49" s="13">
        <f>IFERROR(VLOOKUP($B49,'SAP 금액'!$A:$C,3,0),0)</f>
        <v>0</v>
      </c>
      <c r="J49" s="13">
        <f>IFERROR(VLOOKUP(B49,'SAP 금액'!E:F,2,0),0)</f>
        <v>0</v>
      </c>
      <c r="K49" s="13">
        <f>VLOOKUP($B49,'국세청 금액'!$A:$C,2,0)</f>
        <v>11257623</v>
      </c>
      <c r="L49" s="13">
        <f>VLOOKUP($B49,'국세청 금액'!$A:$C,3,0)</f>
        <v>1125765</v>
      </c>
      <c r="M49" s="13">
        <f>VLOOKUP(B49,'국세청 금액'!A:F,6,0)</f>
        <v>80000</v>
      </c>
      <c r="N49" s="14">
        <f>K49-H49</f>
        <v>11257623</v>
      </c>
      <c r="O49" s="14">
        <f>L49-I49</f>
        <v>1125765</v>
      </c>
      <c r="P49" s="14">
        <f>M49-J49</f>
        <v>80000</v>
      </c>
      <c r="Q49" s="4" t="b">
        <f>AND(N49&lt;&gt;0,O49&lt;&gt;0)</f>
        <v>1</v>
      </c>
      <c r="R49" s="4" t="b">
        <f>P49&lt;&gt;0</f>
        <v>1</v>
      </c>
    </row>
    <row r="50" spans="2:18" ht="18" thickBot="1" x14ac:dyDescent="0.45">
      <c r="B50" s="33" t="s">
        <v>303</v>
      </c>
      <c r="C50" s="34" t="s">
        <v>304</v>
      </c>
      <c r="D50" s="35">
        <v>4438501111</v>
      </c>
      <c r="E50" s="4" t="str">
        <f>LEFT(D50,3)</f>
        <v>443</v>
      </c>
      <c r="F50" s="4" t="str">
        <f>MID(D50,4,2)</f>
        <v>85</v>
      </c>
      <c r="G50" s="4" t="str">
        <f>RIGHT(D50,5)</f>
        <v>01111</v>
      </c>
      <c r="H50" s="13">
        <f>IFERROR(VLOOKUP($B50,'SAP 금액'!$A:$C,2,0),0)</f>
        <v>0</v>
      </c>
      <c r="I50" s="13">
        <f>IFERROR(VLOOKUP($B50,'SAP 금액'!$A:$C,3,0),0)</f>
        <v>0</v>
      </c>
      <c r="J50" s="13">
        <f>IFERROR(VLOOKUP(B50,'SAP 금액'!E:F,2,0),0)</f>
        <v>0</v>
      </c>
      <c r="K50" s="13">
        <f>VLOOKUP($B50,'국세청 금액'!$A:$C,2,0)</f>
        <v>13475278</v>
      </c>
      <c r="L50" s="13">
        <f>VLOOKUP($B50,'국세청 금액'!$A:$C,3,0)</f>
        <v>1347527</v>
      </c>
      <c r="M50" s="13">
        <f>VLOOKUP(B50,'국세청 금액'!A:F,6,0)</f>
        <v>0</v>
      </c>
      <c r="N50" s="14">
        <f>K50-H50</f>
        <v>13475278</v>
      </c>
      <c r="O50" s="14">
        <f>L50-I50</f>
        <v>1347527</v>
      </c>
      <c r="P50" s="14">
        <f>M50-J50</f>
        <v>0</v>
      </c>
      <c r="Q50" s="4" t="b">
        <f>AND(N50&lt;&gt;0,O50&lt;&gt;0)</f>
        <v>1</v>
      </c>
      <c r="R50" s="4" t="b">
        <f>P50&lt;&gt;0</f>
        <v>0</v>
      </c>
    </row>
    <row r="51" spans="2:18" ht="18" thickBot="1" x14ac:dyDescent="0.45">
      <c r="B51" s="33" t="s">
        <v>305</v>
      </c>
      <c r="C51" s="34" t="s">
        <v>306</v>
      </c>
      <c r="D51" s="35">
        <v>2398501166</v>
      </c>
      <c r="E51" s="4" t="str">
        <f>LEFT(D51,3)</f>
        <v>239</v>
      </c>
      <c r="F51" s="4" t="str">
        <f>MID(D51,4,2)</f>
        <v>85</v>
      </c>
      <c r="G51" s="4" t="str">
        <f>RIGHT(D51,5)</f>
        <v>01166</v>
      </c>
      <c r="H51" s="13">
        <f>IFERROR(VLOOKUP($B51,'SAP 금액'!$A:$C,2,0),0)</f>
        <v>0</v>
      </c>
      <c r="I51" s="13">
        <f>IFERROR(VLOOKUP($B51,'SAP 금액'!$A:$C,3,0),0)</f>
        <v>0</v>
      </c>
      <c r="J51" s="13">
        <f>IFERROR(VLOOKUP(B51,'SAP 금액'!E:F,2,0),0)</f>
        <v>0</v>
      </c>
      <c r="K51" s="13">
        <f>VLOOKUP($B51,'국세청 금액'!$A:$C,2,0)</f>
        <v>44057461</v>
      </c>
      <c r="L51" s="13">
        <f>VLOOKUP($B51,'국세청 금액'!$A:$C,3,0)</f>
        <v>4405659</v>
      </c>
      <c r="M51" s="13">
        <f>VLOOKUP(B51,'국세청 금액'!A:F,6,0)</f>
        <v>0</v>
      </c>
      <c r="N51" s="14">
        <f>K51-H51</f>
        <v>44057461</v>
      </c>
      <c r="O51" s="14">
        <f>L51-I51</f>
        <v>4405659</v>
      </c>
      <c r="P51" s="14">
        <f>M51-J51</f>
        <v>0</v>
      </c>
      <c r="Q51" s="4" t="b">
        <f>AND(N51&lt;&gt;0,O51&lt;&gt;0)</f>
        <v>1</v>
      </c>
      <c r="R51" s="4" t="b">
        <f>P51&lt;&gt;0</f>
        <v>0</v>
      </c>
    </row>
    <row r="52" spans="2:18" ht="18" thickBot="1" x14ac:dyDescent="0.45">
      <c r="B52" s="33" t="s">
        <v>307</v>
      </c>
      <c r="C52" s="34" t="s">
        <v>308</v>
      </c>
      <c r="D52" s="35">
        <v>4758501253</v>
      </c>
      <c r="E52" s="4" t="str">
        <f>LEFT(D52,3)</f>
        <v>475</v>
      </c>
      <c r="F52" s="4" t="str">
        <f>MID(D52,4,2)</f>
        <v>85</v>
      </c>
      <c r="G52" s="4" t="str">
        <f>RIGHT(D52,5)</f>
        <v>01253</v>
      </c>
      <c r="H52" s="13">
        <f>IFERROR(VLOOKUP($B52,'SAP 금액'!$A:$C,2,0),0)</f>
        <v>0</v>
      </c>
      <c r="I52" s="13">
        <f>IFERROR(VLOOKUP($B52,'SAP 금액'!$A:$C,3,0),0)</f>
        <v>0</v>
      </c>
      <c r="J52" s="13">
        <f>IFERROR(VLOOKUP(B52,'SAP 금액'!E:F,2,0),0)</f>
        <v>0</v>
      </c>
      <c r="K52" s="13">
        <f>VLOOKUP($B52,'국세청 금액'!$A:$C,2,0)</f>
        <v>138933931</v>
      </c>
      <c r="L52" s="13">
        <f>VLOOKUP($B52,'국세청 금액'!$A:$C,3,0)</f>
        <v>13893383</v>
      </c>
      <c r="M52" s="13">
        <f>VLOOKUP(B52,'국세청 금액'!A:F,6,0)</f>
        <v>3033350</v>
      </c>
      <c r="N52" s="14">
        <f>K52-H52</f>
        <v>138933931</v>
      </c>
      <c r="O52" s="14">
        <f>L52-I52</f>
        <v>13893383</v>
      </c>
      <c r="P52" s="14">
        <f>M52-J52</f>
        <v>3033350</v>
      </c>
      <c r="Q52" s="4" t="b">
        <f>AND(N52&lt;&gt;0,O52&lt;&gt;0)</f>
        <v>1</v>
      </c>
      <c r="R52" s="4" t="b">
        <f>P52&lt;&gt;0</f>
        <v>1</v>
      </c>
    </row>
    <row r="53" spans="2:18" ht="18" thickBot="1" x14ac:dyDescent="0.45">
      <c r="B53" s="33" t="s">
        <v>309</v>
      </c>
      <c r="C53" s="34" t="s">
        <v>310</v>
      </c>
      <c r="D53" s="35">
        <v>1638501078</v>
      </c>
      <c r="E53" s="4" t="str">
        <f>LEFT(D53,3)</f>
        <v>163</v>
      </c>
      <c r="F53" s="4" t="str">
        <f>MID(D53,4,2)</f>
        <v>85</v>
      </c>
      <c r="G53" s="4" t="str">
        <f>RIGHT(D53,5)</f>
        <v>01078</v>
      </c>
      <c r="H53" s="13">
        <f>IFERROR(VLOOKUP($B53,'SAP 금액'!$A:$C,2,0),0)</f>
        <v>0</v>
      </c>
      <c r="I53" s="13">
        <f>IFERROR(VLOOKUP($B53,'SAP 금액'!$A:$C,3,0),0)</f>
        <v>0</v>
      </c>
      <c r="J53" s="13">
        <f>IFERROR(VLOOKUP(B53,'SAP 금액'!E:F,2,0),0)</f>
        <v>0</v>
      </c>
      <c r="K53" s="13">
        <f>VLOOKUP($B53,'국세청 금액'!$A:$C,2,0)</f>
        <v>8159068</v>
      </c>
      <c r="L53" s="13">
        <f>VLOOKUP($B53,'국세청 금액'!$A:$C,3,0)</f>
        <v>815904</v>
      </c>
      <c r="M53" s="13">
        <f>VLOOKUP(B53,'국세청 금액'!A:F,6,0)</f>
        <v>120000</v>
      </c>
      <c r="N53" s="14">
        <f>K53-H53</f>
        <v>8159068</v>
      </c>
      <c r="O53" s="14">
        <f>L53-I53</f>
        <v>815904</v>
      </c>
      <c r="P53" s="14">
        <f>M53-J53</f>
        <v>120000</v>
      </c>
      <c r="Q53" s="4" t="b">
        <f>AND(N53&lt;&gt;0,O53&lt;&gt;0)</f>
        <v>1</v>
      </c>
      <c r="R53" s="4" t="b">
        <f>P53&lt;&gt;0</f>
        <v>1</v>
      </c>
    </row>
    <row r="54" spans="2:18" ht="18" thickBot="1" x14ac:dyDescent="0.45">
      <c r="B54" s="33" t="s">
        <v>311</v>
      </c>
      <c r="C54" s="34" t="s">
        <v>312</v>
      </c>
      <c r="D54" s="35">
        <v>1588501213</v>
      </c>
      <c r="E54" s="4" t="str">
        <f>LEFT(D54,3)</f>
        <v>158</v>
      </c>
      <c r="F54" s="4" t="str">
        <f>MID(D54,4,2)</f>
        <v>85</v>
      </c>
      <c r="G54" s="4" t="str">
        <f>RIGHT(D54,5)</f>
        <v>01213</v>
      </c>
      <c r="H54" s="13">
        <f>IFERROR(VLOOKUP($B54,'SAP 금액'!$A:$C,2,0),0)</f>
        <v>0</v>
      </c>
      <c r="I54" s="13">
        <f>IFERROR(VLOOKUP($B54,'SAP 금액'!$A:$C,3,0),0)</f>
        <v>0</v>
      </c>
      <c r="J54" s="13">
        <f>IFERROR(VLOOKUP(B54,'SAP 금액'!E:F,2,0),0)</f>
        <v>0</v>
      </c>
      <c r="K54" s="13">
        <f>VLOOKUP($B54,'국세청 금액'!$A:$C,2,0)</f>
        <v>31685157</v>
      </c>
      <c r="L54" s="13">
        <f>VLOOKUP($B54,'국세청 금액'!$A:$C,3,0)</f>
        <v>3168508</v>
      </c>
      <c r="M54" s="13">
        <f>VLOOKUP(B54,'국세청 금액'!A:F,6,0)</f>
        <v>245000</v>
      </c>
      <c r="N54" s="14">
        <f>K54-H54</f>
        <v>31685157</v>
      </c>
      <c r="O54" s="14">
        <f>L54-I54</f>
        <v>3168508</v>
      </c>
      <c r="P54" s="14">
        <f>M54-J54</f>
        <v>245000</v>
      </c>
      <c r="Q54" s="4" t="b">
        <f>AND(N54&lt;&gt;0,O54&lt;&gt;0)</f>
        <v>1</v>
      </c>
      <c r="R54" s="4" t="b">
        <f>P54&lt;&gt;0</f>
        <v>1</v>
      </c>
    </row>
    <row r="55" spans="2:18" ht="18" thickBot="1" x14ac:dyDescent="0.45">
      <c r="B55" s="33" t="s">
        <v>313</v>
      </c>
      <c r="C55" s="34" t="s">
        <v>314</v>
      </c>
      <c r="D55" s="35">
        <v>4528501041</v>
      </c>
      <c r="E55" s="4" t="str">
        <f>LEFT(D55,3)</f>
        <v>452</v>
      </c>
      <c r="F55" s="4" t="str">
        <f>MID(D55,4,2)</f>
        <v>85</v>
      </c>
      <c r="G55" s="4" t="str">
        <f>RIGHT(D55,5)</f>
        <v>01041</v>
      </c>
      <c r="H55" s="13">
        <f>IFERROR(VLOOKUP($B55,'SAP 금액'!$A:$C,2,0),0)</f>
        <v>0</v>
      </c>
      <c r="I55" s="13">
        <f>IFERROR(VLOOKUP($B55,'SAP 금액'!$A:$C,3,0),0)</f>
        <v>0</v>
      </c>
      <c r="J55" s="13">
        <f>IFERROR(VLOOKUP(B55,'SAP 금액'!E:F,2,0),0)</f>
        <v>0</v>
      </c>
      <c r="K55" s="13">
        <f>VLOOKUP($B55,'국세청 금액'!$A:$C,2,0)</f>
        <v>36283650</v>
      </c>
      <c r="L55" s="13">
        <f>VLOOKUP($B55,'국세청 금액'!$A:$C,3,0)</f>
        <v>3628345</v>
      </c>
      <c r="M55" s="13">
        <f>VLOOKUP(B55,'국세청 금액'!A:F,6,0)</f>
        <v>0</v>
      </c>
      <c r="N55" s="14">
        <f>K55-H55</f>
        <v>36283650</v>
      </c>
      <c r="O55" s="14">
        <f>L55-I55</f>
        <v>3628345</v>
      </c>
      <c r="P55" s="14">
        <f>M55-J55</f>
        <v>0</v>
      </c>
      <c r="Q55" s="4" t="b">
        <f>AND(N55&lt;&gt;0,O55&lt;&gt;0)</f>
        <v>1</v>
      </c>
      <c r="R55" s="4" t="b">
        <f>P55&lt;&gt;0</f>
        <v>0</v>
      </c>
    </row>
    <row r="56" spans="2:18" ht="18" thickBot="1" x14ac:dyDescent="0.45">
      <c r="B56" s="33" t="s">
        <v>315</v>
      </c>
      <c r="C56" s="34" t="s">
        <v>316</v>
      </c>
      <c r="D56" s="35">
        <v>4518501242</v>
      </c>
      <c r="E56" s="4" t="str">
        <f>LEFT(D56,3)</f>
        <v>451</v>
      </c>
      <c r="F56" s="4" t="str">
        <f>MID(D56,4,2)</f>
        <v>85</v>
      </c>
      <c r="G56" s="4" t="str">
        <f>RIGHT(D56,5)</f>
        <v>01242</v>
      </c>
      <c r="H56" s="13">
        <f>IFERROR(VLOOKUP($B56,'SAP 금액'!$A:$C,2,0),0)</f>
        <v>0</v>
      </c>
      <c r="I56" s="13">
        <f>IFERROR(VLOOKUP($B56,'SAP 금액'!$A:$C,3,0),0)</f>
        <v>0</v>
      </c>
      <c r="J56" s="13">
        <f>IFERROR(VLOOKUP(B56,'SAP 금액'!E:F,2,0),0)</f>
        <v>0</v>
      </c>
      <c r="K56" s="13">
        <f>VLOOKUP($B56,'국세청 금액'!$A:$C,2,0)</f>
        <v>17411869</v>
      </c>
      <c r="L56" s="13">
        <f>VLOOKUP($B56,'국세청 금액'!$A:$C,3,0)</f>
        <v>1741154</v>
      </c>
      <c r="M56" s="13">
        <f>VLOOKUP(B56,'국세청 금액'!A:F,6,0)</f>
        <v>0</v>
      </c>
      <c r="N56" s="14">
        <f>K56-H56</f>
        <v>17411869</v>
      </c>
      <c r="O56" s="14">
        <f>L56-I56</f>
        <v>1741154</v>
      </c>
      <c r="P56" s="14">
        <f>M56-J56</f>
        <v>0</v>
      </c>
      <c r="Q56" s="4" t="b">
        <f>AND(N56&lt;&gt;0,O56&lt;&gt;0)</f>
        <v>1</v>
      </c>
      <c r="R56" s="4" t="b">
        <f>P56&lt;&gt;0</f>
        <v>0</v>
      </c>
    </row>
    <row r="57" spans="2:18" ht="18" thickBot="1" x14ac:dyDescent="0.45">
      <c r="B57" s="33" t="s">
        <v>317</v>
      </c>
      <c r="C57" s="34" t="s">
        <v>318</v>
      </c>
      <c r="D57" s="35">
        <v>7928500993</v>
      </c>
      <c r="E57" s="4" t="str">
        <f>LEFT(D57,3)</f>
        <v>792</v>
      </c>
      <c r="F57" s="4" t="str">
        <f>MID(D57,4,2)</f>
        <v>85</v>
      </c>
      <c r="G57" s="4" t="str">
        <f>RIGHT(D57,5)</f>
        <v>00993</v>
      </c>
      <c r="H57" s="13">
        <f>IFERROR(VLOOKUP($B57,'SAP 금액'!$A:$C,2,0),0)</f>
        <v>0</v>
      </c>
      <c r="I57" s="13">
        <f>IFERROR(VLOOKUP($B57,'SAP 금액'!$A:$C,3,0),0)</f>
        <v>0</v>
      </c>
      <c r="J57" s="13">
        <f>IFERROR(VLOOKUP(B57,'SAP 금액'!E:F,2,0),0)</f>
        <v>0</v>
      </c>
      <c r="K57" s="13">
        <f>VLOOKUP($B57,'국세청 금액'!$A:$C,2,0)</f>
        <v>31911886</v>
      </c>
      <c r="L57" s="13">
        <f>VLOOKUP($B57,'국세청 금액'!$A:$C,3,0)</f>
        <v>3191137</v>
      </c>
      <c r="M57" s="13">
        <f>VLOOKUP(B57,'국세청 금액'!A:F,6,0)</f>
        <v>160000</v>
      </c>
      <c r="N57" s="14">
        <f>K57-H57</f>
        <v>31911886</v>
      </c>
      <c r="O57" s="14">
        <f>L57-I57</f>
        <v>3191137</v>
      </c>
      <c r="P57" s="14">
        <f>M57-J57</f>
        <v>160000</v>
      </c>
      <c r="Q57" s="4" t="b">
        <f>AND(N57&lt;&gt;0,O57&lt;&gt;0)</f>
        <v>1</v>
      </c>
      <c r="R57" s="4" t="b">
        <f>P57&lt;&gt;0</f>
        <v>1</v>
      </c>
    </row>
    <row r="58" spans="2:18" ht="18" thickBot="1" x14ac:dyDescent="0.45">
      <c r="B58" s="33" t="s">
        <v>319</v>
      </c>
      <c r="C58" s="34" t="s">
        <v>320</v>
      </c>
      <c r="D58" s="35">
        <v>1028507397</v>
      </c>
      <c r="E58" s="4" t="str">
        <f>LEFT(D58,3)</f>
        <v>102</v>
      </c>
      <c r="F58" s="4" t="str">
        <f>MID(D58,4,2)</f>
        <v>85</v>
      </c>
      <c r="G58" s="4" t="str">
        <f>RIGHT(D58,5)</f>
        <v>07397</v>
      </c>
      <c r="H58" s="13">
        <f>IFERROR(VLOOKUP($B58,'SAP 금액'!$A:$C,2,0),0)</f>
        <v>0</v>
      </c>
      <c r="I58" s="13">
        <f>IFERROR(VLOOKUP($B58,'SAP 금액'!$A:$C,3,0),0)</f>
        <v>0</v>
      </c>
      <c r="J58" s="13">
        <f>IFERROR(VLOOKUP(B58,'SAP 금액'!E:F,2,0),0)</f>
        <v>0</v>
      </c>
      <c r="K58" s="13">
        <f>VLOOKUP($B58,'국세청 금액'!$A:$C,2,0)</f>
        <v>77377966</v>
      </c>
      <c r="L58" s="13">
        <f>VLOOKUP($B58,'국세청 금액'!$A:$C,3,0)</f>
        <v>7737796</v>
      </c>
      <c r="M58" s="13">
        <f>VLOOKUP(B58,'국세청 금액'!A:F,6,0)</f>
        <v>46155</v>
      </c>
      <c r="N58" s="14">
        <f>K58-H58</f>
        <v>77377966</v>
      </c>
      <c r="O58" s="14">
        <f>L58-I58</f>
        <v>7737796</v>
      </c>
      <c r="P58" s="14">
        <f>M58-J58</f>
        <v>46155</v>
      </c>
      <c r="Q58" s="4" t="b">
        <f>AND(N58&lt;&gt;0,O58&lt;&gt;0)</f>
        <v>1</v>
      </c>
      <c r="R58" s="4" t="b">
        <f>P58&lt;&gt;0</f>
        <v>1</v>
      </c>
    </row>
    <row r="59" spans="2:18" ht="18" thickBot="1" x14ac:dyDescent="0.45">
      <c r="B59" s="33" t="s">
        <v>321</v>
      </c>
      <c r="C59" s="34" t="s">
        <v>322</v>
      </c>
      <c r="D59" s="35">
        <v>5468501098</v>
      </c>
      <c r="E59" s="4" t="str">
        <f>LEFT(D59,3)</f>
        <v>546</v>
      </c>
      <c r="F59" s="4" t="str">
        <f>MID(D59,4,2)</f>
        <v>85</v>
      </c>
      <c r="G59" s="4" t="str">
        <f>RIGHT(D59,5)</f>
        <v>01098</v>
      </c>
      <c r="H59" s="13">
        <f>IFERROR(VLOOKUP($B59,'SAP 금액'!$A:$C,2,0),0)</f>
        <v>0</v>
      </c>
      <c r="I59" s="13">
        <f>IFERROR(VLOOKUP($B59,'SAP 금액'!$A:$C,3,0),0)</f>
        <v>0</v>
      </c>
      <c r="J59" s="13">
        <f>IFERROR(VLOOKUP(B59,'SAP 금액'!E:F,2,0),0)</f>
        <v>0</v>
      </c>
      <c r="K59" s="13">
        <f>VLOOKUP($B59,'국세청 금액'!$A:$C,2,0)</f>
        <v>2210189</v>
      </c>
      <c r="L59" s="13">
        <f>VLOOKUP($B59,'국세청 금액'!$A:$C,3,0)</f>
        <v>221018</v>
      </c>
      <c r="M59" s="13">
        <f>VLOOKUP(B59,'국세청 금액'!A:F,6,0)</f>
        <v>0</v>
      </c>
      <c r="N59" s="14">
        <f>K59-H59</f>
        <v>2210189</v>
      </c>
      <c r="O59" s="14">
        <f>L59-I59</f>
        <v>221018</v>
      </c>
      <c r="P59" s="14">
        <f>M59-J59</f>
        <v>0</v>
      </c>
      <c r="Q59" s="4" t="b">
        <f>AND(N59&lt;&gt;0,O59&lt;&gt;0)</f>
        <v>1</v>
      </c>
      <c r="R59" s="4" t="b">
        <f>P59&lt;&gt;0</f>
        <v>0</v>
      </c>
    </row>
    <row r="60" spans="2:18" ht="18" thickBot="1" x14ac:dyDescent="0.45">
      <c r="B60" s="33" t="s">
        <v>323</v>
      </c>
      <c r="C60" s="34" t="s">
        <v>324</v>
      </c>
      <c r="D60" s="35">
        <v>4038524834</v>
      </c>
      <c r="E60" s="4" t="str">
        <f>LEFT(D60,3)</f>
        <v>403</v>
      </c>
      <c r="F60" s="4" t="str">
        <f>MID(D60,4,2)</f>
        <v>85</v>
      </c>
      <c r="G60" s="4" t="str">
        <f>RIGHT(D60,5)</f>
        <v>24834</v>
      </c>
      <c r="H60" s="13">
        <f>IFERROR(VLOOKUP($B60,'SAP 금액'!$A:$C,2,0),0)</f>
        <v>0</v>
      </c>
      <c r="I60" s="13">
        <f>IFERROR(VLOOKUP($B60,'SAP 금액'!$A:$C,3,0),0)</f>
        <v>0</v>
      </c>
      <c r="J60" s="13">
        <f>IFERROR(VLOOKUP(B60,'SAP 금액'!E:F,2,0),0)</f>
        <v>0</v>
      </c>
      <c r="K60" s="13">
        <f>VLOOKUP($B60,'국세청 금액'!$A:$C,2,0)</f>
        <v>24925240</v>
      </c>
      <c r="L60" s="13">
        <f>VLOOKUP($B60,'국세청 금액'!$A:$C,3,0)</f>
        <v>2492389</v>
      </c>
      <c r="M60" s="13">
        <f>VLOOKUP(B60,'국세청 금액'!A:F,6,0)</f>
        <v>1319697</v>
      </c>
      <c r="N60" s="14">
        <f>K60-H60</f>
        <v>24925240</v>
      </c>
      <c r="O60" s="14">
        <f>L60-I60</f>
        <v>2492389</v>
      </c>
      <c r="P60" s="14">
        <f>M60-J60</f>
        <v>1319697</v>
      </c>
      <c r="Q60" s="4" t="b">
        <f>AND(N60&lt;&gt;0,O60&lt;&gt;0)</f>
        <v>1</v>
      </c>
      <c r="R60" s="4" t="b">
        <f>P60&lt;&gt;0</f>
        <v>1</v>
      </c>
    </row>
    <row r="61" spans="2:18" ht="18" thickBot="1" x14ac:dyDescent="0.45">
      <c r="B61" s="33" t="s">
        <v>325</v>
      </c>
      <c r="C61" s="34" t="s">
        <v>326</v>
      </c>
      <c r="D61" s="35">
        <v>4468501099</v>
      </c>
      <c r="E61" s="4" t="str">
        <f>LEFT(D61,3)</f>
        <v>446</v>
      </c>
      <c r="F61" s="4" t="str">
        <f>MID(D61,4,2)</f>
        <v>85</v>
      </c>
      <c r="G61" s="4" t="str">
        <f>RIGHT(D61,5)</f>
        <v>01099</v>
      </c>
      <c r="H61" s="13">
        <f>IFERROR(VLOOKUP($B61,'SAP 금액'!$A:$C,2,0),0)</f>
        <v>0</v>
      </c>
      <c r="I61" s="13">
        <f>IFERROR(VLOOKUP($B61,'SAP 금액'!$A:$C,3,0),0)</f>
        <v>0</v>
      </c>
      <c r="J61" s="13">
        <f>IFERROR(VLOOKUP(B61,'SAP 금액'!E:F,2,0),0)</f>
        <v>0</v>
      </c>
      <c r="K61" s="13">
        <f>VLOOKUP($B61,'국세청 금액'!$A:$C,2,0)</f>
        <v>152112490</v>
      </c>
      <c r="L61" s="13">
        <f>VLOOKUP($B61,'국세청 금액'!$A:$C,3,0)</f>
        <v>15211246</v>
      </c>
      <c r="M61" s="13">
        <f>VLOOKUP(B61,'국세청 금액'!A:F,6,0)</f>
        <v>3012895</v>
      </c>
      <c r="N61" s="14">
        <f>K61-H61</f>
        <v>152112490</v>
      </c>
      <c r="O61" s="14">
        <f>L61-I61</f>
        <v>15211246</v>
      </c>
      <c r="P61" s="14">
        <f>M61-J61</f>
        <v>3012895</v>
      </c>
      <c r="Q61" s="4" t="b">
        <f>AND(N61&lt;&gt;0,O61&lt;&gt;0)</f>
        <v>1</v>
      </c>
      <c r="R61" s="4" t="b">
        <f>P61&lt;&gt;0</f>
        <v>1</v>
      </c>
    </row>
    <row r="62" spans="2:18" ht="18" thickBot="1" x14ac:dyDescent="0.45">
      <c r="B62" s="33" t="s">
        <v>327</v>
      </c>
      <c r="C62" s="34" t="s">
        <v>328</v>
      </c>
      <c r="D62" s="35">
        <v>6498501039</v>
      </c>
      <c r="E62" s="4" t="str">
        <f>LEFT(D62,3)</f>
        <v>649</v>
      </c>
      <c r="F62" s="4" t="str">
        <f>MID(D62,4,2)</f>
        <v>85</v>
      </c>
      <c r="G62" s="4" t="str">
        <f>RIGHT(D62,5)</f>
        <v>01039</v>
      </c>
      <c r="H62" s="13">
        <f>IFERROR(VLOOKUP($B62,'SAP 금액'!$A:$C,2,0),0)</f>
        <v>0</v>
      </c>
      <c r="I62" s="13">
        <f>IFERROR(VLOOKUP($B62,'SAP 금액'!$A:$C,3,0),0)</f>
        <v>0</v>
      </c>
      <c r="J62" s="13">
        <f>IFERROR(VLOOKUP(B62,'SAP 금액'!E:F,2,0),0)</f>
        <v>0</v>
      </c>
      <c r="K62" s="13">
        <f>VLOOKUP($B62,'국세청 금액'!$A:$C,2,0)</f>
        <v>116560754</v>
      </c>
      <c r="L62" s="13">
        <f>VLOOKUP($B62,'국세청 금액'!$A:$C,3,0)</f>
        <v>11655772</v>
      </c>
      <c r="M62" s="13">
        <f>VLOOKUP(B62,'국세청 금액'!A:F,6,0)</f>
        <v>0</v>
      </c>
      <c r="N62" s="14">
        <f>K62-H62</f>
        <v>116560754</v>
      </c>
      <c r="O62" s="14">
        <f>L62-I62</f>
        <v>11655772</v>
      </c>
      <c r="P62" s="14">
        <f>M62-J62</f>
        <v>0</v>
      </c>
      <c r="Q62" s="4" t="b">
        <f>AND(N62&lt;&gt;0,O62&lt;&gt;0)</f>
        <v>1</v>
      </c>
      <c r="R62" s="4" t="b">
        <f>P62&lt;&gt;0</f>
        <v>0</v>
      </c>
    </row>
    <row r="63" spans="2:18" ht="18" thickBot="1" x14ac:dyDescent="0.45">
      <c r="B63" s="33" t="s">
        <v>329</v>
      </c>
      <c r="C63" s="34" t="s">
        <v>330</v>
      </c>
      <c r="D63" s="35">
        <v>2868501070</v>
      </c>
      <c r="E63" s="4" t="str">
        <f>LEFT(D63,3)</f>
        <v>286</v>
      </c>
      <c r="F63" s="4" t="str">
        <f>MID(D63,4,2)</f>
        <v>85</v>
      </c>
      <c r="G63" s="4" t="str">
        <f>RIGHT(D63,5)</f>
        <v>01070</v>
      </c>
      <c r="H63" s="13">
        <f>IFERROR(VLOOKUP($B63,'SAP 금액'!$A:$C,2,0),0)</f>
        <v>0</v>
      </c>
      <c r="I63" s="13">
        <f>IFERROR(VLOOKUP($B63,'SAP 금액'!$A:$C,3,0),0)</f>
        <v>0</v>
      </c>
      <c r="J63" s="13">
        <f>IFERROR(VLOOKUP(B63,'SAP 금액'!E:F,2,0),0)</f>
        <v>0</v>
      </c>
      <c r="K63" s="13">
        <f>VLOOKUP($B63,'국세청 금액'!$A:$C,2,0)</f>
        <v>21042817</v>
      </c>
      <c r="L63" s="13">
        <f>VLOOKUP($B63,'국세청 금액'!$A:$C,3,0)</f>
        <v>2104279</v>
      </c>
      <c r="M63" s="13">
        <f>VLOOKUP(B63,'국세청 금액'!A:F,6,0)</f>
        <v>3112079</v>
      </c>
      <c r="N63" s="14">
        <f>K63-H63</f>
        <v>21042817</v>
      </c>
      <c r="O63" s="14">
        <f>L63-I63</f>
        <v>2104279</v>
      </c>
      <c r="P63" s="14">
        <f>M63-J63</f>
        <v>3112079</v>
      </c>
      <c r="Q63" s="4" t="b">
        <f>AND(N63&lt;&gt;0,O63&lt;&gt;0)</f>
        <v>1</v>
      </c>
      <c r="R63" s="4" t="b">
        <f>P63&lt;&gt;0</f>
        <v>1</v>
      </c>
    </row>
    <row r="64" spans="2:18" ht="18" thickBot="1" x14ac:dyDescent="0.45">
      <c r="B64" s="33" t="s">
        <v>331</v>
      </c>
      <c r="C64" s="34" t="s">
        <v>332</v>
      </c>
      <c r="D64" s="35">
        <v>3328501164</v>
      </c>
      <c r="E64" s="4" t="str">
        <f>LEFT(D64,3)</f>
        <v>332</v>
      </c>
      <c r="F64" s="4" t="str">
        <f>MID(D64,4,2)</f>
        <v>85</v>
      </c>
      <c r="G64" s="4" t="str">
        <f>RIGHT(D64,5)</f>
        <v>01164</v>
      </c>
      <c r="H64" s="13">
        <f>IFERROR(VLOOKUP($B64,'SAP 금액'!$A:$C,2,0),0)</f>
        <v>0</v>
      </c>
      <c r="I64" s="13">
        <f>IFERROR(VLOOKUP($B64,'SAP 금액'!$A:$C,3,0),0)</f>
        <v>0</v>
      </c>
      <c r="J64" s="13">
        <f>IFERROR(VLOOKUP(B64,'SAP 금액'!E:F,2,0),0)</f>
        <v>0</v>
      </c>
      <c r="K64" s="13">
        <f>VLOOKUP($B64,'국세청 금액'!$A:$C,2,0)</f>
        <v>87893230</v>
      </c>
      <c r="L64" s="13">
        <f>VLOOKUP($B64,'국세청 금액'!$A:$C,3,0)</f>
        <v>8789321</v>
      </c>
      <c r="M64" s="13">
        <f>VLOOKUP(B64,'국세청 금액'!A:F,6,0)</f>
        <v>2393301</v>
      </c>
      <c r="N64" s="14">
        <f>K64-H64</f>
        <v>87893230</v>
      </c>
      <c r="O64" s="14">
        <f>L64-I64</f>
        <v>8789321</v>
      </c>
      <c r="P64" s="14">
        <f>M64-J64</f>
        <v>2393301</v>
      </c>
      <c r="Q64" s="4" t="b">
        <f>AND(N64&lt;&gt;0,O64&lt;&gt;0)</f>
        <v>1</v>
      </c>
      <c r="R64" s="4" t="b">
        <f>P64&lt;&gt;0</f>
        <v>1</v>
      </c>
    </row>
    <row r="65" spans="2:18" ht="18" thickBot="1" x14ac:dyDescent="0.45">
      <c r="B65" s="33" t="s">
        <v>333</v>
      </c>
      <c r="C65" s="34" t="s">
        <v>334</v>
      </c>
      <c r="D65" s="35">
        <v>2868501084</v>
      </c>
      <c r="E65" s="4" t="str">
        <f>LEFT(D65,3)</f>
        <v>286</v>
      </c>
      <c r="F65" s="4" t="str">
        <f>MID(D65,4,2)</f>
        <v>85</v>
      </c>
      <c r="G65" s="4" t="str">
        <f>RIGHT(D65,5)</f>
        <v>01084</v>
      </c>
      <c r="H65" s="13">
        <f>IFERROR(VLOOKUP($B65,'SAP 금액'!$A:$C,2,0),0)</f>
        <v>0</v>
      </c>
      <c r="I65" s="13">
        <f>IFERROR(VLOOKUP($B65,'SAP 금액'!$A:$C,3,0),0)</f>
        <v>0</v>
      </c>
      <c r="J65" s="13">
        <f>IFERROR(VLOOKUP(B65,'SAP 금액'!E:F,2,0),0)</f>
        <v>0</v>
      </c>
      <c r="K65" s="13">
        <f>VLOOKUP($B65,'국세청 금액'!$A:$C,2,0)</f>
        <v>31194744</v>
      </c>
      <c r="L65" s="13">
        <f>VLOOKUP($B65,'국세청 금액'!$A:$C,3,0)</f>
        <v>3119473</v>
      </c>
      <c r="M65" s="13">
        <f>VLOOKUP(B65,'국세청 금액'!A:F,6,0)</f>
        <v>1183696</v>
      </c>
      <c r="N65" s="14">
        <f>K65-H65</f>
        <v>31194744</v>
      </c>
      <c r="O65" s="14">
        <f>L65-I65</f>
        <v>3119473</v>
      </c>
      <c r="P65" s="14">
        <f>M65-J65</f>
        <v>1183696</v>
      </c>
      <c r="Q65" s="4" t="b">
        <f>AND(N65&lt;&gt;0,O65&lt;&gt;0)</f>
        <v>1</v>
      </c>
      <c r="R65" s="4" t="b">
        <f>P65&lt;&gt;0</f>
        <v>1</v>
      </c>
    </row>
    <row r="66" spans="2:18" ht="18" thickBot="1" x14ac:dyDescent="0.45">
      <c r="B66" s="33" t="s">
        <v>335</v>
      </c>
      <c r="C66" s="34" t="s">
        <v>336</v>
      </c>
      <c r="D66" s="35">
        <v>2958501230</v>
      </c>
      <c r="E66" s="4" t="str">
        <f>LEFT(D66,3)</f>
        <v>295</v>
      </c>
      <c r="F66" s="4" t="str">
        <f>MID(D66,4,2)</f>
        <v>85</v>
      </c>
      <c r="G66" s="4" t="str">
        <f>RIGHT(D66,5)</f>
        <v>01230</v>
      </c>
      <c r="H66" s="13">
        <f>IFERROR(VLOOKUP($B66,'SAP 금액'!$A:$C,2,0),0)</f>
        <v>0</v>
      </c>
      <c r="I66" s="13">
        <f>IFERROR(VLOOKUP($B66,'SAP 금액'!$A:$C,3,0),0)</f>
        <v>0</v>
      </c>
      <c r="J66" s="13">
        <f>IFERROR(VLOOKUP(B66,'SAP 금액'!E:F,2,0),0)</f>
        <v>0</v>
      </c>
      <c r="K66" s="13">
        <f>VLOOKUP($B66,'국세청 금액'!$A:$C,2,0)</f>
        <v>33860198</v>
      </c>
      <c r="L66" s="13">
        <f>VLOOKUP($B66,'국세청 금액'!$A:$C,3,0)</f>
        <v>3386020</v>
      </c>
      <c r="M66" s="13">
        <f>VLOOKUP(B66,'국세청 금액'!A:F,6,0)</f>
        <v>2607882</v>
      </c>
      <c r="N66" s="14">
        <f>K66-H66</f>
        <v>33860198</v>
      </c>
      <c r="O66" s="14">
        <f>L66-I66</f>
        <v>3386020</v>
      </c>
      <c r="P66" s="14">
        <f>M66-J66</f>
        <v>2607882</v>
      </c>
      <c r="Q66" s="4" t="b">
        <f>AND(N66&lt;&gt;0,O66&lt;&gt;0)</f>
        <v>1</v>
      </c>
      <c r="R66" s="4" t="b">
        <f>P66&lt;&gt;0</f>
        <v>1</v>
      </c>
    </row>
    <row r="67" spans="2:18" ht="18" thickBot="1" x14ac:dyDescent="0.45">
      <c r="B67" s="33" t="s">
        <v>337</v>
      </c>
      <c r="C67" s="34" t="s">
        <v>338</v>
      </c>
      <c r="D67" s="35">
        <v>8098501117</v>
      </c>
      <c r="E67" s="4" t="str">
        <f>LEFT(D67,3)</f>
        <v>809</v>
      </c>
      <c r="F67" s="4" t="str">
        <f>MID(D67,4,2)</f>
        <v>85</v>
      </c>
      <c r="G67" s="4" t="str">
        <f>RIGHT(D67,5)</f>
        <v>01117</v>
      </c>
      <c r="H67" s="13">
        <f>IFERROR(VLOOKUP($B67,'SAP 금액'!$A:$C,2,0),0)</f>
        <v>0</v>
      </c>
      <c r="I67" s="13">
        <f>IFERROR(VLOOKUP($B67,'SAP 금액'!$A:$C,3,0),0)</f>
        <v>0</v>
      </c>
      <c r="J67" s="13">
        <f>IFERROR(VLOOKUP(B67,'SAP 금액'!E:F,2,0),0)</f>
        <v>0</v>
      </c>
      <c r="K67" s="13">
        <f>VLOOKUP($B67,'국세청 금액'!$A:$C,2,0)</f>
        <v>127383635</v>
      </c>
      <c r="L67" s="13">
        <f>VLOOKUP($B67,'국세청 금액'!$A:$C,3,0)</f>
        <v>12738356</v>
      </c>
      <c r="M67" s="13">
        <f>VLOOKUP(B67,'국세청 금액'!A:F,6,0)</f>
        <v>456000</v>
      </c>
      <c r="N67" s="14">
        <f>K67-H67</f>
        <v>127383635</v>
      </c>
      <c r="O67" s="14">
        <f>L67-I67</f>
        <v>12738356</v>
      </c>
      <c r="P67" s="14">
        <f>M67-J67</f>
        <v>456000</v>
      </c>
      <c r="Q67" s="4" t="b">
        <f>AND(N67&lt;&gt;0,O67&lt;&gt;0)</f>
        <v>1</v>
      </c>
      <c r="R67" s="4" t="b">
        <f>P67&lt;&gt;0</f>
        <v>1</v>
      </c>
    </row>
    <row r="68" spans="2:18" ht="18" thickBot="1" x14ac:dyDescent="0.45">
      <c r="B68" s="33" t="s">
        <v>339</v>
      </c>
      <c r="C68" s="34" t="s">
        <v>340</v>
      </c>
      <c r="D68" s="35">
        <v>5018517689</v>
      </c>
      <c r="E68" s="4" t="str">
        <f>LEFT(D68,3)</f>
        <v>501</v>
      </c>
      <c r="F68" s="4" t="str">
        <f>MID(D68,4,2)</f>
        <v>85</v>
      </c>
      <c r="G68" s="4" t="str">
        <f>RIGHT(D68,5)</f>
        <v>17689</v>
      </c>
      <c r="H68" s="13">
        <f>IFERROR(VLOOKUP($B68,'SAP 금액'!$A:$C,2,0),0)</f>
        <v>0</v>
      </c>
      <c r="I68" s="13">
        <f>IFERROR(VLOOKUP($B68,'SAP 금액'!$A:$C,3,0),0)</f>
        <v>0</v>
      </c>
      <c r="J68" s="13">
        <f>IFERROR(VLOOKUP(B68,'SAP 금액'!E:F,2,0),0)</f>
        <v>0</v>
      </c>
      <c r="K68" s="13">
        <f>VLOOKUP($B68,'국세청 금액'!$A:$C,2,0)</f>
        <v>9928556</v>
      </c>
      <c r="L68" s="13">
        <f>VLOOKUP($B68,'국세청 금액'!$A:$C,3,0)</f>
        <v>992865</v>
      </c>
      <c r="M68" s="13">
        <f>VLOOKUP(B68,'국세청 금액'!A:F,6,0)</f>
        <v>200000</v>
      </c>
      <c r="N68" s="14">
        <f>K68-H68</f>
        <v>9928556</v>
      </c>
      <c r="O68" s="14">
        <f>L68-I68</f>
        <v>992865</v>
      </c>
      <c r="P68" s="14">
        <f>M68-J68</f>
        <v>200000</v>
      </c>
      <c r="Q68" s="4" t="b">
        <f>AND(N68&lt;&gt;0,O68&lt;&gt;0)</f>
        <v>1</v>
      </c>
      <c r="R68" s="4" t="b">
        <f>P68&lt;&gt;0</f>
        <v>1</v>
      </c>
    </row>
    <row r="69" spans="2:18" ht="18" thickBot="1" x14ac:dyDescent="0.45">
      <c r="B69" s="33" t="s">
        <v>341</v>
      </c>
      <c r="C69" s="34" t="s">
        <v>342</v>
      </c>
      <c r="D69" s="35">
        <v>2078515305</v>
      </c>
      <c r="E69" s="4" t="str">
        <f>LEFT(D69,3)</f>
        <v>207</v>
      </c>
      <c r="F69" s="4" t="str">
        <f>MID(D69,4,2)</f>
        <v>85</v>
      </c>
      <c r="G69" s="4" t="str">
        <f>RIGHT(D69,5)</f>
        <v>15305</v>
      </c>
      <c r="H69" s="13">
        <f>IFERROR(VLOOKUP($B69,'SAP 금액'!$A:$C,2,0),0)</f>
        <v>0</v>
      </c>
      <c r="I69" s="13">
        <f>IFERROR(VLOOKUP($B69,'SAP 금액'!$A:$C,3,0),0)</f>
        <v>0</v>
      </c>
      <c r="J69" s="13">
        <f>IFERROR(VLOOKUP(B69,'SAP 금액'!E:F,2,0),0)</f>
        <v>0</v>
      </c>
      <c r="K69" s="13">
        <f>VLOOKUP($B69,'국세청 금액'!$A:$C,2,0)</f>
        <v>15302414</v>
      </c>
      <c r="L69" s="13">
        <f>VLOOKUP($B69,'국세청 금액'!$A:$C,3,0)</f>
        <v>1530229</v>
      </c>
      <c r="M69" s="13">
        <f>VLOOKUP(B69,'국세청 금액'!A:F,6,0)</f>
        <v>0</v>
      </c>
      <c r="N69" s="14">
        <f>K69-H69</f>
        <v>15302414</v>
      </c>
      <c r="O69" s="14">
        <f>L69-I69</f>
        <v>1530229</v>
      </c>
      <c r="P69" s="14">
        <f>M69-J69</f>
        <v>0</v>
      </c>
      <c r="Q69" s="4" t="b">
        <f>AND(N69&lt;&gt;0,O69&lt;&gt;0)</f>
        <v>1</v>
      </c>
      <c r="R69" s="4" t="b">
        <f>P69&lt;&gt;0</f>
        <v>0</v>
      </c>
    </row>
    <row r="70" spans="2:18" ht="18" thickBot="1" x14ac:dyDescent="0.45">
      <c r="B70" s="33" t="s">
        <v>343</v>
      </c>
      <c r="C70" s="34" t="s">
        <v>344</v>
      </c>
      <c r="D70" s="35">
        <v>5608501186</v>
      </c>
      <c r="E70" s="4" t="str">
        <f>LEFT(D70,3)</f>
        <v>560</v>
      </c>
      <c r="F70" s="4" t="str">
        <f>MID(D70,4,2)</f>
        <v>85</v>
      </c>
      <c r="G70" s="4" t="str">
        <f>RIGHT(D70,5)</f>
        <v>01186</v>
      </c>
      <c r="H70" s="13">
        <f>IFERROR(VLOOKUP($B70,'SAP 금액'!$A:$C,2,0),0)</f>
        <v>0</v>
      </c>
      <c r="I70" s="13">
        <f>IFERROR(VLOOKUP($B70,'SAP 금액'!$A:$C,3,0),0)</f>
        <v>0</v>
      </c>
      <c r="J70" s="13">
        <f>IFERROR(VLOOKUP(B70,'SAP 금액'!E:F,2,0),0)</f>
        <v>0</v>
      </c>
      <c r="K70" s="13">
        <f>VLOOKUP($B70,'국세청 금액'!$A:$C,2,0)</f>
        <v>26056494</v>
      </c>
      <c r="L70" s="13">
        <f>VLOOKUP($B70,'국세청 금액'!$A:$C,3,0)</f>
        <v>2605608</v>
      </c>
      <c r="M70" s="13">
        <f>VLOOKUP(B70,'국세청 금액'!A:F,6,0)</f>
        <v>120000</v>
      </c>
      <c r="N70" s="14">
        <f>K70-H70</f>
        <v>26056494</v>
      </c>
      <c r="O70" s="14">
        <f>L70-I70</f>
        <v>2605608</v>
      </c>
      <c r="P70" s="14">
        <f>M70-J70</f>
        <v>120000</v>
      </c>
      <c r="Q70" s="4" t="b">
        <f>AND(N70&lt;&gt;0,O70&lt;&gt;0)</f>
        <v>1</v>
      </c>
      <c r="R70" s="4" t="b">
        <f>P70&lt;&gt;0</f>
        <v>1</v>
      </c>
    </row>
    <row r="71" spans="2:18" ht="18" thickBot="1" x14ac:dyDescent="0.45">
      <c r="B71" s="33" t="s">
        <v>345</v>
      </c>
      <c r="C71" s="34" t="s">
        <v>346</v>
      </c>
      <c r="D71" s="35">
        <v>6848501236</v>
      </c>
      <c r="E71" s="4" t="str">
        <f>LEFT(D71,3)</f>
        <v>684</v>
      </c>
      <c r="F71" s="4" t="str">
        <f>MID(D71,4,2)</f>
        <v>85</v>
      </c>
      <c r="G71" s="4" t="str">
        <f>RIGHT(D71,5)</f>
        <v>01236</v>
      </c>
      <c r="H71" s="13">
        <f>IFERROR(VLOOKUP($B71,'SAP 금액'!$A:$C,2,0),0)</f>
        <v>0</v>
      </c>
      <c r="I71" s="13">
        <f>IFERROR(VLOOKUP($B71,'SAP 금액'!$A:$C,3,0),0)</f>
        <v>0</v>
      </c>
      <c r="J71" s="13">
        <f>IFERROR(VLOOKUP(B71,'SAP 금액'!E:F,2,0),0)</f>
        <v>0</v>
      </c>
      <c r="K71" s="13">
        <f>VLOOKUP($B71,'국세청 금액'!$A:$C,2,0)</f>
        <v>310567</v>
      </c>
      <c r="L71" s="13">
        <f>VLOOKUP($B71,'국세청 금액'!$A:$C,3,0)</f>
        <v>31056</v>
      </c>
      <c r="M71" s="13">
        <f>VLOOKUP(B71,'국세청 금액'!A:F,6,0)</f>
        <v>0</v>
      </c>
      <c r="N71" s="14">
        <f>K71-H71</f>
        <v>310567</v>
      </c>
      <c r="O71" s="14">
        <f>L71-I71</f>
        <v>31056</v>
      </c>
      <c r="P71" s="14">
        <f>M71-J71</f>
        <v>0</v>
      </c>
      <c r="Q71" s="4" t="b">
        <f>AND(N71&lt;&gt;0,O71&lt;&gt;0)</f>
        <v>1</v>
      </c>
      <c r="R71" s="4" t="b">
        <f>P71&lt;&gt;0</f>
        <v>0</v>
      </c>
    </row>
    <row r="72" spans="2:18" ht="18" thickBot="1" x14ac:dyDescent="0.45">
      <c r="B72" s="33" t="s">
        <v>347</v>
      </c>
      <c r="C72" s="34" t="s">
        <v>348</v>
      </c>
      <c r="D72" s="35">
        <v>4838501235</v>
      </c>
      <c r="E72" s="4" t="str">
        <f>LEFT(D72,3)</f>
        <v>483</v>
      </c>
      <c r="F72" s="4" t="str">
        <f>MID(D72,4,2)</f>
        <v>85</v>
      </c>
      <c r="G72" s="4" t="str">
        <f>RIGHT(D72,5)</f>
        <v>01235</v>
      </c>
      <c r="H72" s="13">
        <f>IFERROR(VLOOKUP($B72,'SAP 금액'!$A:$C,2,0),0)</f>
        <v>0</v>
      </c>
      <c r="I72" s="13">
        <f>IFERROR(VLOOKUP($B72,'SAP 금액'!$A:$C,3,0),0)</f>
        <v>0</v>
      </c>
      <c r="J72" s="13">
        <f>IFERROR(VLOOKUP(B72,'SAP 금액'!E:F,2,0),0)</f>
        <v>0</v>
      </c>
      <c r="K72" s="13">
        <f>VLOOKUP($B72,'국세청 금액'!$A:$C,2,0)</f>
        <v>5546081</v>
      </c>
      <c r="L72" s="13">
        <f>VLOOKUP($B72,'국세청 금액'!$A:$C,3,0)</f>
        <v>554604</v>
      </c>
      <c r="M72" s="13">
        <f>VLOOKUP(B72,'국세청 금액'!A:F,6,0)</f>
        <v>0</v>
      </c>
      <c r="N72" s="14">
        <f>K72-H72</f>
        <v>5546081</v>
      </c>
      <c r="O72" s="14">
        <f>L72-I72</f>
        <v>554604</v>
      </c>
      <c r="P72" s="14">
        <f>M72-J72</f>
        <v>0</v>
      </c>
      <c r="Q72" s="4" t="b">
        <f>AND(N72&lt;&gt;0,O72&lt;&gt;0)</f>
        <v>1</v>
      </c>
      <c r="R72" s="4" t="b">
        <f>P72&lt;&gt;0</f>
        <v>0</v>
      </c>
    </row>
    <row r="73" spans="2:18" ht="18" thickBot="1" x14ac:dyDescent="0.45">
      <c r="B73" s="33" t="s">
        <v>349</v>
      </c>
      <c r="C73" s="34" t="s">
        <v>350</v>
      </c>
      <c r="D73" s="35">
        <v>2078515299</v>
      </c>
      <c r="E73" s="4" t="str">
        <f>LEFT(D73,3)</f>
        <v>207</v>
      </c>
      <c r="F73" s="4" t="str">
        <f>MID(D73,4,2)</f>
        <v>85</v>
      </c>
      <c r="G73" s="4" t="str">
        <f>RIGHT(D73,5)</f>
        <v>15299</v>
      </c>
      <c r="H73" s="13">
        <f>IFERROR(VLOOKUP($B73,'SAP 금액'!$A:$C,2,0),0)</f>
        <v>0</v>
      </c>
      <c r="I73" s="13">
        <f>IFERROR(VLOOKUP($B73,'SAP 금액'!$A:$C,3,0),0)</f>
        <v>0</v>
      </c>
      <c r="J73" s="13">
        <f>IFERROR(VLOOKUP(B73,'SAP 금액'!E:F,2,0),0)</f>
        <v>0</v>
      </c>
      <c r="K73" s="13">
        <f>VLOOKUP($B73,'국세청 금액'!$A:$C,2,0)</f>
        <v>234461374</v>
      </c>
      <c r="L73" s="13">
        <f>VLOOKUP($B73,'국세청 금액'!$A:$C,3,0)</f>
        <v>23446173</v>
      </c>
      <c r="M73" s="13">
        <f>VLOOKUP(B73,'국세청 금액'!A:F,6,0)</f>
        <v>2682480</v>
      </c>
      <c r="N73" s="14">
        <f>K73-H73</f>
        <v>234461374</v>
      </c>
      <c r="O73" s="14">
        <f>L73-I73</f>
        <v>23446173</v>
      </c>
      <c r="P73" s="14">
        <f>M73-J73</f>
        <v>2682480</v>
      </c>
      <c r="Q73" s="4" t="b">
        <f>AND(N73&lt;&gt;0,O73&lt;&gt;0)</f>
        <v>1</v>
      </c>
      <c r="R73" s="4" t="b">
        <f>P73&lt;&gt;0</f>
        <v>1</v>
      </c>
    </row>
    <row r="74" spans="2:18" ht="18" thickBot="1" x14ac:dyDescent="0.45">
      <c r="B74" s="33" t="s">
        <v>351</v>
      </c>
      <c r="C74" s="34" t="s">
        <v>352</v>
      </c>
      <c r="D74" s="35">
        <v>3748501213</v>
      </c>
      <c r="E74" s="4" t="str">
        <f>LEFT(D74,3)</f>
        <v>374</v>
      </c>
      <c r="F74" s="4" t="str">
        <f>MID(D74,4,2)</f>
        <v>85</v>
      </c>
      <c r="G74" s="4" t="str">
        <f>RIGHT(D74,5)</f>
        <v>01213</v>
      </c>
      <c r="H74" s="13">
        <f>IFERROR(VLOOKUP($B74,'SAP 금액'!$A:$C,2,0),0)</f>
        <v>0</v>
      </c>
      <c r="I74" s="13">
        <f>IFERROR(VLOOKUP($B74,'SAP 금액'!$A:$C,3,0),0)</f>
        <v>0</v>
      </c>
      <c r="J74" s="13">
        <f>IFERROR(VLOOKUP(B74,'SAP 금액'!E:F,2,0),0)</f>
        <v>0</v>
      </c>
      <c r="K74" s="13">
        <f>VLOOKUP($B74,'국세청 금액'!$A:$C,2,0)</f>
        <v>61223217</v>
      </c>
      <c r="L74" s="13">
        <f>VLOOKUP($B74,'국세청 금액'!$A:$C,3,0)</f>
        <v>6122322</v>
      </c>
      <c r="M74" s="13">
        <f>VLOOKUP(B74,'국세청 금액'!A:F,6,0)</f>
        <v>0</v>
      </c>
      <c r="N74" s="14">
        <f>K74-H74</f>
        <v>61223217</v>
      </c>
      <c r="O74" s="14">
        <f>L74-I74</f>
        <v>6122322</v>
      </c>
      <c r="P74" s="14">
        <f>M74-J74</f>
        <v>0</v>
      </c>
      <c r="Q74" s="4" t="b">
        <f>AND(N74&lt;&gt;0,O74&lt;&gt;0)</f>
        <v>1</v>
      </c>
      <c r="R74" s="4" t="b">
        <f>P74&lt;&gt;0</f>
        <v>0</v>
      </c>
    </row>
    <row r="75" spans="2:18" ht="18" thickBot="1" x14ac:dyDescent="0.45">
      <c r="B75" s="33" t="s">
        <v>353</v>
      </c>
      <c r="C75" s="34" t="s">
        <v>354</v>
      </c>
      <c r="D75" s="35">
        <v>4688501084</v>
      </c>
      <c r="E75" s="4" t="str">
        <f>LEFT(D75,3)</f>
        <v>468</v>
      </c>
      <c r="F75" s="4" t="str">
        <f>MID(D75,4,2)</f>
        <v>85</v>
      </c>
      <c r="G75" s="4" t="str">
        <f>RIGHT(D75,5)</f>
        <v>01084</v>
      </c>
      <c r="H75" s="13">
        <f>IFERROR(VLOOKUP($B75,'SAP 금액'!$A:$C,2,0),0)</f>
        <v>0</v>
      </c>
      <c r="I75" s="13">
        <f>IFERROR(VLOOKUP($B75,'SAP 금액'!$A:$C,3,0),0)</f>
        <v>0</v>
      </c>
      <c r="J75" s="13">
        <f>IFERROR(VLOOKUP(B75,'SAP 금액'!E:F,2,0),0)</f>
        <v>0</v>
      </c>
      <c r="K75" s="13">
        <f>VLOOKUP($B75,'국세청 금액'!$A:$C,2,0)</f>
        <v>142147475</v>
      </c>
      <c r="L75" s="13">
        <f>VLOOKUP($B75,'국세청 금액'!$A:$C,3,0)</f>
        <v>14214553</v>
      </c>
      <c r="M75" s="13">
        <f>VLOOKUP(B75,'국세청 금액'!A:F,6,0)</f>
        <v>1631495</v>
      </c>
      <c r="N75" s="14">
        <f>K75-H75</f>
        <v>142147475</v>
      </c>
      <c r="O75" s="14">
        <f>L75-I75</f>
        <v>14214553</v>
      </c>
      <c r="P75" s="14">
        <f>M75-J75</f>
        <v>1631495</v>
      </c>
      <c r="Q75" s="4" t="b">
        <f>AND(N75&lt;&gt;0,O75&lt;&gt;0)</f>
        <v>1</v>
      </c>
      <c r="R75" s="4" t="b">
        <f>P75&lt;&gt;0</f>
        <v>1</v>
      </c>
    </row>
    <row r="76" spans="2:18" ht="18" thickBot="1" x14ac:dyDescent="0.45">
      <c r="B76" s="33" t="s">
        <v>355</v>
      </c>
      <c r="C76" s="34" t="s">
        <v>356</v>
      </c>
      <c r="D76" s="35">
        <v>7888501256</v>
      </c>
      <c r="E76" s="4" t="str">
        <f>LEFT(D76,3)</f>
        <v>788</v>
      </c>
      <c r="F76" s="4" t="str">
        <f>MID(D76,4,2)</f>
        <v>85</v>
      </c>
      <c r="G76" s="4" t="str">
        <f>RIGHT(D76,5)</f>
        <v>01256</v>
      </c>
      <c r="H76" s="13">
        <f>IFERROR(VLOOKUP($B76,'SAP 금액'!$A:$C,2,0),0)</f>
        <v>0</v>
      </c>
      <c r="I76" s="13">
        <f>IFERROR(VLOOKUP($B76,'SAP 금액'!$A:$C,3,0),0)</f>
        <v>0</v>
      </c>
      <c r="J76" s="13">
        <f>IFERROR(VLOOKUP(B76,'SAP 금액'!E:F,2,0),0)</f>
        <v>0</v>
      </c>
      <c r="K76" s="13">
        <f>VLOOKUP($B76,'국세청 금액'!$A:$C,2,0)</f>
        <v>12137754</v>
      </c>
      <c r="L76" s="13">
        <f>VLOOKUP($B76,'국세청 금액'!$A:$C,3,0)</f>
        <v>1213774</v>
      </c>
      <c r="M76" s="13">
        <f>VLOOKUP(B76,'국세청 금액'!A:F,6,0)</f>
        <v>0</v>
      </c>
      <c r="N76" s="14">
        <f>K76-H76</f>
        <v>12137754</v>
      </c>
      <c r="O76" s="14">
        <f>L76-I76</f>
        <v>1213774</v>
      </c>
      <c r="P76" s="14">
        <f>M76-J76</f>
        <v>0</v>
      </c>
      <c r="Q76" s="4" t="b">
        <f>AND(N76&lt;&gt;0,O76&lt;&gt;0)</f>
        <v>1</v>
      </c>
      <c r="R76" s="4" t="b">
        <f>P76&lt;&gt;0</f>
        <v>0</v>
      </c>
    </row>
    <row r="77" spans="2:18" ht="18" thickBot="1" x14ac:dyDescent="0.45">
      <c r="B77" s="33" t="s">
        <v>357</v>
      </c>
      <c r="C77" s="34" t="s">
        <v>358</v>
      </c>
      <c r="D77" s="35">
        <v>7288501161</v>
      </c>
      <c r="E77" s="4" t="str">
        <f>LEFT(D77,3)</f>
        <v>728</v>
      </c>
      <c r="F77" s="4" t="str">
        <f>MID(D77,4,2)</f>
        <v>85</v>
      </c>
      <c r="G77" s="4" t="str">
        <f>RIGHT(D77,5)</f>
        <v>01161</v>
      </c>
      <c r="H77" s="13">
        <f>IFERROR(VLOOKUP($B77,'SAP 금액'!$A:$C,2,0),0)</f>
        <v>0</v>
      </c>
      <c r="I77" s="13">
        <f>IFERROR(VLOOKUP($B77,'SAP 금액'!$A:$C,3,0),0)</f>
        <v>0</v>
      </c>
      <c r="J77" s="13">
        <f>IFERROR(VLOOKUP(B77,'SAP 금액'!E:F,2,0),0)</f>
        <v>0</v>
      </c>
      <c r="K77" s="13">
        <f>VLOOKUP($B77,'국세청 금액'!$A:$C,2,0)</f>
        <v>154305961</v>
      </c>
      <c r="L77" s="13">
        <f>VLOOKUP($B77,'국세청 금액'!$A:$C,3,0)</f>
        <v>15430441</v>
      </c>
      <c r="M77" s="13">
        <f>VLOOKUP(B77,'국세청 금액'!A:F,6,0)</f>
        <v>856843</v>
      </c>
      <c r="N77" s="14">
        <f>K77-H77</f>
        <v>154305961</v>
      </c>
      <c r="O77" s="14">
        <f>L77-I77</f>
        <v>15430441</v>
      </c>
      <c r="P77" s="14">
        <f>M77-J77</f>
        <v>856843</v>
      </c>
      <c r="Q77" s="4" t="b">
        <f>AND(N77&lt;&gt;0,O77&lt;&gt;0)</f>
        <v>1</v>
      </c>
      <c r="R77" s="4" t="b">
        <f>P77&lt;&gt;0</f>
        <v>1</v>
      </c>
    </row>
    <row r="78" spans="2:18" ht="18" thickBot="1" x14ac:dyDescent="0.45">
      <c r="B78" s="33" t="s">
        <v>359</v>
      </c>
      <c r="C78" s="34" t="s">
        <v>360</v>
      </c>
      <c r="D78" s="35">
        <v>6378501109</v>
      </c>
      <c r="E78" s="4" t="str">
        <f>LEFT(D78,3)</f>
        <v>637</v>
      </c>
      <c r="F78" s="4" t="str">
        <f>MID(D78,4,2)</f>
        <v>85</v>
      </c>
      <c r="G78" s="4" t="str">
        <f>RIGHT(D78,5)</f>
        <v>01109</v>
      </c>
      <c r="H78" s="13">
        <f>IFERROR(VLOOKUP($B78,'SAP 금액'!$A:$C,2,0),0)</f>
        <v>0</v>
      </c>
      <c r="I78" s="13">
        <f>IFERROR(VLOOKUP($B78,'SAP 금액'!$A:$C,3,0),0)</f>
        <v>0</v>
      </c>
      <c r="J78" s="13">
        <f>IFERROR(VLOOKUP(B78,'SAP 금액'!E:F,2,0),0)</f>
        <v>0</v>
      </c>
      <c r="K78" s="13">
        <f>VLOOKUP($B78,'국세청 금액'!$A:$C,2,0)</f>
        <v>24152732</v>
      </c>
      <c r="L78" s="13">
        <f>VLOOKUP($B78,'국세청 금액'!$A:$C,3,0)</f>
        <v>2415270</v>
      </c>
      <c r="M78" s="13">
        <f>VLOOKUP(B78,'국세청 금액'!A:F,6,0)</f>
        <v>0</v>
      </c>
      <c r="N78" s="14">
        <f>K78-H78</f>
        <v>24152732</v>
      </c>
      <c r="O78" s="14">
        <f>L78-I78</f>
        <v>2415270</v>
      </c>
      <c r="P78" s="14">
        <f>M78-J78</f>
        <v>0</v>
      </c>
      <c r="Q78" s="4" t="b">
        <f>AND(N78&lt;&gt;0,O78&lt;&gt;0)</f>
        <v>1</v>
      </c>
      <c r="R78" s="4" t="b">
        <f>P78&lt;&gt;0</f>
        <v>0</v>
      </c>
    </row>
    <row r="79" spans="2:18" ht="18" thickBot="1" x14ac:dyDescent="0.45">
      <c r="B79" s="33" t="s">
        <v>361</v>
      </c>
      <c r="C79" s="34" t="s">
        <v>362</v>
      </c>
      <c r="D79" s="35">
        <v>2418501043</v>
      </c>
      <c r="E79" s="4" t="str">
        <f>LEFT(D79,3)</f>
        <v>241</v>
      </c>
      <c r="F79" s="4" t="str">
        <f>MID(D79,4,2)</f>
        <v>85</v>
      </c>
      <c r="G79" s="4" t="str">
        <f>RIGHT(D79,5)</f>
        <v>01043</v>
      </c>
      <c r="H79" s="13">
        <f>IFERROR(VLOOKUP($B79,'SAP 금액'!$A:$C,2,0),0)</f>
        <v>0</v>
      </c>
      <c r="I79" s="13">
        <f>IFERROR(VLOOKUP($B79,'SAP 금액'!$A:$C,3,0),0)</f>
        <v>0</v>
      </c>
      <c r="J79" s="13">
        <f>IFERROR(VLOOKUP(B79,'SAP 금액'!E:F,2,0),0)</f>
        <v>0</v>
      </c>
      <c r="K79" s="13">
        <f>VLOOKUP($B79,'국세청 금액'!$A:$C,2,0)</f>
        <v>8605420</v>
      </c>
      <c r="L79" s="13">
        <f>VLOOKUP($B79,'국세청 금액'!$A:$C,3,0)</f>
        <v>860539</v>
      </c>
      <c r="M79" s="13">
        <f>VLOOKUP(B79,'국세청 금액'!A:F,6,0)</f>
        <v>40000</v>
      </c>
      <c r="N79" s="14">
        <f>K79-H79</f>
        <v>8605420</v>
      </c>
      <c r="O79" s="14">
        <f>L79-I79</f>
        <v>860539</v>
      </c>
      <c r="P79" s="14">
        <f>M79-J79</f>
        <v>40000</v>
      </c>
      <c r="Q79" s="4" t="b">
        <f>AND(N79&lt;&gt;0,O79&lt;&gt;0)</f>
        <v>1</v>
      </c>
      <c r="R79" s="4" t="b">
        <f>P79&lt;&gt;0</f>
        <v>1</v>
      </c>
    </row>
    <row r="80" spans="2:18" ht="18" thickBot="1" x14ac:dyDescent="0.45">
      <c r="B80" s="33" t="s">
        <v>363</v>
      </c>
      <c r="C80" s="34" t="s">
        <v>364</v>
      </c>
      <c r="D80" s="35">
        <v>5968501128</v>
      </c>
      <c r="E80" s="4" t="str">
        <f>LEFT(D80,3)</f>
        <v>596</v>
      </c>
      <c r="F80" s="4" t="str">
        <f>MID(D80,4,2)</f>
        <v>85</v>
      </c>
      <c r="G80" s="4" t="str">
        <f>RIGHT(D80,5)</f>
        <v>01128</v>
      </c>
      <c r="H80" s="13">
        <f>IFERROR(VLOOKUP($B80,'SAP 금액'!$A:$C,2,0),0)</f>
        <v>0</v>
      </c>
      <c r="I80" s="13">
        <f>IFERROR(VLOOKUP($B80,'SAP 금액'!$A:$C,3,0),0)</f>
        <v>0</v>
      </c>
      <c r="J80" s="13">
        <f>IFERROR(VLOOKUP(B80,'SAP 금액'!E:F,2,0),0)</f>
        <v>0</v>
      </c>
      <c r="K80" s="13">
        <f>VLOOKUP($B80,'국세청 금액'!$A:$C,2,0)</f>
        <v>15292223</v>
      </c>
      <c r="L80" s="13">
        <f>VLOOKUP($B80,'국세청 금액'!$A:$C,3,0)</f>
        <v>1529216</v>
      </c>
      <c r="M80" s="13">
        <f>VLOOKUP(B80,'국세청 금액'!A:F,6,0)</f>
        <v>0</v>
      </c>
      <c r="N80" s="14">
        <f>K80-H80</f>
        <v>15292223</v>
      </c>
      <c r="O80" s="14">
        <f>L80-I80</f>
        <v>1529216</v>
      </c>
      <c r="P80" s="14">
        <f>M80-J80</f>
        <v>0</v>
      </c>
      <c r="Q80" s="4" t="b">
        <f>AND(N80&lt;&gt;0,O80&lt;&gt;0)</f>
        <v>1</v>
      </c>
      <c r="R80" s="4" t="b">
        <f>P80&lt;&gt;0</f>
        <v>0</v>
      </c>
    </row>
    <row r="81" spans="2:18" ht="18" thickBot="1" x14ac:dyDescent="0.45">
      <c r="B81" s="33" t="s">
        <v>365</v>
      </c>
      <c r="C81" s="34" t="s">
        <v>366</v>
      </c>
      <c r="D81" s="35">
        <v>2318503781</v>
      </c>
      <c r="E81" s="4" t="str">
        <f>LEFT(D81,3)</f>
        <v>231</v>
      </c>
      <c r="F81" s="4" t="str">
        <f>MID(D81,4,2)</f>
        <v>85</v>
      </c>
      <c r="G81" s="4" t="str">
        <f>RIGHT(D81,5)</f>
        <v>03781</v>
      </c>
      <c r="H81" s="13">
        <f>IFERROR(VLOOKUP($B81,'SAP 금액'!$A:$C,2,0),0)</f>
        <v>0</v>
      </c>
      <c r="I81" s="13">
        <f>IFERROR(VLOOKUP($B81,'SAP 금액'!$A:$C,3,0),0)</f>
        <v>0</v>
      </c>
      <c r="J81" s="13">
        <f>IFERROR(VLOOKUP(B81,'SAP 금액'!E:F,2,0),0)</f>
        <v>0</v>
      </c>
      <c r="K81" s="13">
        <f>VLOOKUP($B81,'국세청 금액'!$A:$C,2,0)</f>
        <v>51820482</v>
      </c>
      <c r="L81" s="13">
        <f>VLOOKUP($B81,'국세청 금액'!$A:$C,3,0)</f>
        <v>5182039</v>
      </c>
      <c r="M81" s="13">
        <f>VLOOKUP(B81,'국세청 금액'!A:F,6,0)</f>
        <v>408000</v>
      </c>
      <c r="N81" s="14">
        <f>K81-H81</f>
        <v>51820482</v>
      </c>
      <c r="O81" s="14">
        <f>L81-I81</f>
        <v>5182039</v>
      </c>
      <c r="P81" s="14">
        <f>M81-J81</f>
        <v>408000</v>
      </c>
      <c r="Q81" s="4" t="b">
        <f>AND(N81&lt;&gt;0,O81&lt;&gt;0)</f>
        <v>1</v>
      </c>
      <c r="R81" s="4" t="b">
        <f>P81&lt;&gt;0</f>
        <v>1</v>
      </c>
    </row>
    <row r="82" spans="2:18" ht="18" thickBot="1" x14ac:dyDescent="0.45">
      <c r="B82" s="33" t="s">
        <v>367</v>
      </c>
      <c r="C82" s="34" t="s">
        <v>368</v>
      </c>
      <c r="D82" s="35">
        <v>6568501060</v>
      </c>
      <c r="E82" s="4" t="str">
        <f>LEFT(D82,3)</f>
        <v>656</v>
      </c>
      <c r="F82" s="4" t="str">
        <f>MID(D82,4,2)</f>
        <v>85</v>
      </c>
      <c r="G82" s="4" t="str">
        <f>RIGHT(D82,5)</f>
        <v>01060</v>
      </c>
      <c r="H82" s="13">
        <f>IFERROR(VLOOKUP($B82,'SAP 금액'!$A:$C,2,0),0)</f>
        <v>0</v>
      </c>
      <c r="I82" s="13">
        <f>IFERROR(VLOOKUP($B82,'SAP 금액'!$A:$C,3,0),0)</f>
        <v>0</v>
      </c>
      <c r="J82" s="13">
        <f>IFERROR(VLOOKUP(B82,'SAP 금액'!E:F,2,0),0)</f>
        <v>0</v>
      </c>
      <c r="K82" s="13">
        <f>VLOOKUP($B82,'국세청 금액'!$A:$C,2,0)</f>
        <v>21930463</v>
      </c>
      <c r="L82" s="13">
        <f>VLOOKUP($B82,'국세청 금액'!$A:$C,3,0)</f>
        <v>2193005</v>
      </c>
      <c r="M82" s="13">
        <f>VLOOKUP(B82,'국세청 금액'!A:F,6,0)</f>
        <v>0</v>
      </c>
      <c r="N82" s="14">
        <f>K82-H82</f>
        <v>21930463</v>
      </c>
      <c r="O82" s="14">
        <f>L82-I82</f>
        <v>2193005</v>
      </c>
      <c r="P82" s="14">
        <f>M82-J82</f>
        <v>0</v>
      </c>
      <c r="Q82" s="4" t="b">
        <f>AND(N82&lt;&gt;0,O82&lt;&gt;0)</f>
        <v>1</v>
      </c>
      <c r="R82" s="4" t="b">
        <f>P82&lt;&gt;0</f>
        <v>0</v>
      </c>
    </row>
    <row r="83" spans="2:18" ht="18" thickBot="1" x14ac:dyDescent="0.45">
      <c r="B83" s="33" t="s">
        <v>369</v>
      </c>
      <c r="C83" s="34" t="s">
        <v>370</v>
      </c>
      <c r="D83" s="35">
        <v>2048530705</v>
      </c>
      <c r="E83" s="4" t="str">
        <f>LEFT(D83,3)</f>
        <v>204</v>
      </c>
      <c r="F83" s="4" t="str">
        <f>MID(D83,4,2)</f>
        <v>85</v>
      </c>
      <c r="G83" s="4" t="str">
        <f>RIGHT(D83,5)</f>
        <v>30705</v>
      </c>
      <c r="H83" s="13">
        <f>IFERROR(VLOOKUP($B83,'SAP 금액'!$A:$C,2,0),0)</f>
        <v>0</v>
      </c>
      <c r="I83" s="13">
        <f>IFERROR(VLOOKUP($B83,'SAP 금액'!$A:$C,3,0),0)</f>
        <v>0</v>
      </c>
      <c r="J83" s="13">
        <f>IFERROR(VLOOKUP(B83,'SAP 금액'!E:F,2,0),0)</f>
        <v>0</v>
      </c>
      <c r="K83" s="13">
        <f>VLOOKUP($B83,'국세청 금액'!$A:$C,2,0)</f>
        <v>49279030</v>
      </c>
      <c r="L83" s="13">
        <f>VLOOKUP($B83,'국세청 금액'!$A:$C,3,0)</f>
        <v>4927775</v>
      </c>
      <c r="M83" s="13">
        <f>VLOOKUP(B83,'국세청 금액'!A:F,6,0)</f>
        <v>408000</v>
      </c>
      <c r="N83" s="14">
        <f>K83-H83</f>
        <v>49279030</v>
      </c>
      <c r="O83" s="14">
        <f>L83-I83</f>
        <v>4927775</v>
      </c>
      <c r="P83" s="14">
        <f>M83-J83</f>
        <v>408000</v>
      </c>
      <c r="Q83" s="4" t="b">
        <f>AND(N83&lt;&gt;0,O83&lt;&gt;0)</f>
        <v>1</v>
      </c>
      <c r="R83" s="4" t="b">
        <f>P83&lt;&gt;0</f>
        <v>1</v>
      </c>
    </row>
    <row r="84" spans="2:18" ht="18" thickBot="1" x14ac:dyDescent="0.45">
      <c r="B84" s="33" t="s">
        <v>371</v>
      </c>
      <c r="C84" s="34" t="s">
        <v>372</v>
      </c>
      <c r="D84" s="35">
        <v>8338500877</v>
      </c>
      <c r="E84" s="4" t="str">
        <f>LEFT(D84,3)</f>
        <v>833</v>
      </c>
      <c r="F84" s="4" t="str">
        <f>MID(D84,4,2)</f>
        <v>85</v>
      </c>
      <c r="G84" s="4" t="str">
        <f>RIGHT(D84,5)</f>
        <v>00877</v>
      </c>
      <c r="H84" s="13">
        <f>IFERROR(VLOOKUP($B84,'SAP 금액'!$A:$C,2,0),0)</f>
        <v>0</v>
      </c>
      <c r="I84" s="13">
        <f>IFERROR(VLOOKUP($B84,'SAP 금액'!$A:$C,3,0),0)</f>
        <v>0</v>
      </c>
      <c r="J84" s="13">
        <f>IFERROR(VLOOKUP(B84,'SAP 금액'!E:F,2,0),0)</f>
        <v>0</v>
      </c>
      <c r="K84" s="13">
        <f>VLOOKUP($B84,'국세청 금액'!$A:$C,2,0)</f>
        <v>18876315</v>
      </c>
      <c r="L84" s="13">
        <f>VLOOKUP($B84,'국세청 금액'!$A:$C,3,0)</f>
        <v>1887635</v>
      </c>
      <c r="M84" s="13">
        <f>VLOOKUP(B84,'국세청 금액'!A:F,6,0)</f>
        <v>0</v>
      </c>
      <c r="N84" s="14">
        <f>K84-H84</f>
        <v>18876315</v>
      </c>
      <c r="O84" s="14">
        <f>L84-I84</f>
        <v>1887635</v>
      </c>
      <c r="P84" s="14">
        <f>M84-J84</f>
        <v>0</v>
      </c>
      <c r="Q84" s="4" t="b">
        <f>AND(N84&lt;&gt;0,O84&lt;&gt;0)</f>
        <v>1</v>
      </c>
      <c r="R84" s="4" t="b">
        <f>P84&lt;&gt;0</f>
        <v>0</v>
      </c>
    </row>
    <row r="85" spans="2:18" ht="18" thickBot="1" x14ac:dyDescent="0.45">
      <c r="B85" s="33" t="s">
        <v>373</v>
      </c>
      <c r="C85" s="34" t="s">
        <v>374</v>
      </c>
      <c r="D85" s="35">
        <v>1298567653</v>
      </c>
      <c r="E85" s="4" t="str">
        <f>LEFT(D85,3)</f>
        <v>129</v>
      </c>
      <c r="F85" s="4" t="str">
        <f>MID(D85,4,2)</f>
        <v>85</v>
      </c>
      <c r="G85" s="4" t="str">
        <f>RIGHT(D85,5)</f>
        <v>67653</v>
      </c>
      <c r="H85" s="13">
        <f>IFERROR(VLOOKUP($B85,'SAP 금액'!$A:$C,2,0),0)</f>
        <v>0</v>
      </c>
      <c r="I85" s="13">
        <f>IFERROR(VLOOKUP($B85,'SAP 금액'!$A:$C,3,0),0)</f>
        <v>0</v>
      </c>
      <c r="J85" s="13">
        <f>IFERROR(VLOOKUP(B85,'SAP 금액'!E:F,2,0),0)</f>
        <v>0</v>
      </c>
      <c r="K85" s="13">
        <f>VLOOKUP($B85,'국세청 금액'!$A:$C,2,0)</f>
        <v>33426695</v>
      </c>
      <c r="L85" s="13">
        <f>VLOOKUP($B85,'국세청 금액'!$A:$C,3,0)</f>
        <v>3342672</v>
      </c>
      <c r="M85" s="13">
        <f>VLOOKUP(B85,'국세청 금액'!A:F,6,0)</f>
        <v>5654370</v>
      </c>
      <c r="N85" s="14">
        <f>K85-H85</f>
        <v>33426695</v>
      </c>
      <c r="O85" s="14">
        <f>L85-I85</f>
        <v>3342672</v>
      </c>
      <c r="P85" s="14">
        <f>M85-J85</f>
        <v>5654370</v>
      </c>
      <c r="Q85" s="4" t="b">
        <f>AND(N85&lt;&gt;0,O85&lt;&gt;0)</f>
        <v>1</v>
      </c>
      <c r="R85" s="4" t="b">
        <f>P85&lt;&gt;0</f>
        <v>1</v>
      </c>
    </row>
    <row r="86" spans="2:18" ht="18" thickBot="1" x14ac:dyDescent="0.45">
      <c r="B86" s="36" t="s">
        <v>375</v>
      </c>
      <c r="C86" s="37" t="s">
        <v>376</v>
      </c>
      <c r="D86" s="38">
        <v>8418501014</v>
      </c>
      <c r="E86" s="4" t="str">
        <f>LEFT(D86,3)</f>
        <v>841</v>
      </c>
      <c r="F86" s="4" t="str">
        <f>MID(D86,4,2)</f>
        <v>85</v>
      </c>
      <c r="G86" s="4" t="str">
        <f>RIGHT(D86,5)</f>
        <v>01014</v>
      </c>
      <c r="H86" s="13">
        <f>IFERROR(VLOOKUP($B86,'SAP 금액'!$A:$C,2,0),0)</f>
        <v>0</v>
      </c>
      <c r="I86" s="13">
        <f>IFERROR(VLOOKUP($B86,'SAP 금액'!$A:$C,3,0),0)</f>
        <v>0</v>
      </c>
      <c r="J86" s="13">
        <f>IFERROR(VLOOKUP(B86,'SAP 금액'!E:F,2,0),0)</f>
        <v>0</v>
      </c>
      <c r="K86" s="13">
        <f>VLOOKUP($B86,'국세청 금액'!$A:$C,2,0)</f>
        <v>170131080</v>
      </c>
      <c r="L86" s="13">
        <f>VLOOKUP($B86,'국세청 금액'!$A:$C,3,0)</f>
        <v>17013100</v>
      </c>
      <c r="M86" s="13">
        <f>VLOOKUP(B86,'국세청 금액'!A:F,6,0)</f>
        <v>2672527</v>
      </c>
      <c r="N86" s="14">
        <f>K86-H86</f>
        <v>170131080</v>
      </c>
      <c r="O86" s="14">
        <f>L86-I86</f>
        <v>17013100</v>
      </c>
      <c r="P86" s="14">
        <f>M86-J86</f>
        <v>2672527</v>
      </c>
      <c r="Q86" s="4" t="b">
        <f>AND(N86&lt;&gt;0,O86&lt;&gt;0)</f>
        <v>1</v>
      </c>
      <c r="R86" s="4" t="b">
        <f>P86&lt;&gt;0</f>
        <v>1</v>
      </c>
    </row>
    <row r="87" spans="2:18" ht="18" thickBot="1" x14ac:dyDescent="0.45">
      <c r="B87" s="36" t="s">
        <v>377</v>
      </c>
      <c r="C87" s="37" t="s">
        <v>378</v>
      </c>
      <c r="D87" s="38">
        <v>6998501204</v>
      </c>
      <c r="E87" s="4" t="str">
        <f>LEFT(D87,3)</f>
        <v>699</v>
      </c>
      <c r="F87" s="4" t="str">
        <f>MID(D87,4,2)</f>
        <v>85</v>
      </c>
      <c r="G87" s="4" t="str">
        <f>RIGHT(D87,5)</f>
        <v>01204</v>
      </c>
      <c r="H87" s="13">
        <f>IFERROR(VLOOKUP($B87,'SAP 금액'!$A:$C,2,0),0)</f>
        <v>0</v>
      </c>
      <c r="I87" s="13">
        <f>IFERROR(VLOOKUP($B87,'SAP 금액'!$A:$C,3,0),0)</f>
        <v>0</v>
      </c>
      <c r="J87" s="13">
        <f>IFERROR(VLOOKUP(B87,'SAP 금액'!E:F,2,0),0)</f>
        <v>0</v>
      </c>
      <c r="K87" s="13">
        <f>VLOOKUP($B87,'국세청 금액'!$A:$C,2,0)</f>
        <v>171725959</v>
      </c>
      <c r="L87" s="13">
        <f>VLOOKUP($B87,'국세청 금액'!$A:$C,3,0)</f>
        <v>17172583</v>
      </c>
      <c r="M87" s="13">
        <f>VLOOKUP(B87,'국세청 금액'!A:F,6,0)</f>
        <v>8271280</v>
      </c>
      <c r="N87" s="14">
        <f>K87-H87</f>
        <v>171725959</v>
      </c>
      <c r="O87" s="14">
        <f>L87-I87</f>
        <v>17172583</v>
      </c>
      <c r="P87" s="14">
        <f>M87-J87</f>
        <v>8271280</v>
      </c>
      <c r="Q87" s="4" t="b">
        <f>AND(N87&lt;&gt;0,O87&lt;&gt;0)</f>
        <v>1</v>
      </c>
      <c r="R87" s="4" t="b">
        <f>P87&lt;&gt;0</f>
        <v>1</v>
      </c>
    </row>
    <row r="88" spans="2:18" ht="18" thickBot="1" x14ac:dyDescent="0.45">
      <c r="B88" s="36" t="s">
        <v>379</v>
      </c>
      <c r="C88" s="37" t="s">
        <v>380</v>
      </c>
      <c r="D88" s="38">
        <v>8998501328</v>
      </c>
      <c r="E88" s="4" t="str">
        <f>LEFT(D88,3)</f>
        <v>899</v>
      </c>
      <c r="F88" s="4" t="str">
        <f>MID(D88,4,2)</f>
        <v>85</v>
      </c>
      <c r="G88" s="4" t="str">
        <f>RIGHT(D88,5)</f>
        <v>01328</v>
      </c>
      <c r="H88" s="13">
        <f>IFERROR(VLOOKUP($B88,'SAP 금액'!$A:$C,2,0),0)</f>
        <v>0</v>
      </c>
      <c r="I88" s="13">
        <f>IFERROR(VLOOKUP($B88,'SAP 금액'!$A:$C,3,0),0)</f>
        <v>0</v>
      </c>
      <c r="J88" s="13">
        <f>IFERROR(VLOOKUP(B88,'SAP 금액'!E:F,2,0),0)</f>
        <v>0</v>
      </c>
      <c r="K88" s="13">
        <f>VLOOKUP($B88,'국세청 금액'!$A:$C,2,0)</f>
        <v>13012308</v>
      </c>
      <c r="L88" s="13">
        <f>VLOOKUP($B88,'국세청 금액'!$A:$C,3,0)</f>
        <v>1301230</v>
      </c>
      <c r="M88" s="13">
        <f>VLOOKUP(B88,'국세청 금액'!A:F,6,0)</f>
        <v>1527351</v>
      </c>
      <c r="N88" s="14">
        <f>K88-H88</f>
        <v>13012308</v>
      </c>
      <c r="O88" s="14">
        <f>L88-I88</f>
        <v>1301230</v>
      </c>
      <c r="P88" s="14">
        <f>M88-J88</f>
        <v>1527351</v>
      </c>
      <c r="Q88" s="4" t="b">
        <f>AND(N88&lt;&gt;0,O88&lt;&gt;0)</f>
        <v>1</v>
      </c>
      <c r="R88" s="4" t="b">
        <f>P88&lt;&gt;0</f>
        <v>1</v>
      </c>
    </row>
    <row r="89" spans="2:18" ht="18" thickBot="1" x14ac:dyDescent="0.45">
      <c r="B89" s="33" t="s">
        <v>381</v>
      </c>
      <c r="C89" s="34" t="s">
        <v>382</v>
      </c>
      <c r="D89" s="35">
        <v>4508501012</v>
      </c>
      <c r="E89" s="4" t="str">
        <f>LEFT(D89,3)</f>
        <v>450</v>
      </c>
      <c r="F89" s="4" t="str">
        <f>MID(D89,4,2)</f>
        <v>85</v>
      </c>
      <c r="G89" s="4" t="str">
        <f>RIGHT(D89,5)</f>
        <v>01012</v>
      </c>
      <c r="H89" s="13">
        <f>IFERROR(VLOOKUP($B89,'SAP 금액'!$A:$C,2,0),0)</f>
        <v>0</v>
      </c>
      <c r="I89" s="13">
        <f>IFERROR(VLOOKUP($B89,'SAP 금액'!$A:$C,3,0),0)</f>
        <v>0</v>
      </c>
      <c r="J89" s="13">
        <f>IFERROR(VLOOKUP(B89,'SAP 금액'!E:F,2,0),0)</f>
        <v>0</v>
      </c>
      <c r="K89" s="13">
        <f>VLOOKUP($B89,'국세청 금액'!$A:$C,2,0)</f>
        <v>23479852</v>
      </c>
      <c r="L89" s="13">
        <f>VLOOKUP($B89,'국세청 금액'!$A:$C,3,0)</f>
        <v>2347981</v>
      </c>
      <c r="M89" s="13">
        <f>VLOOKUP(B89,'국세청 금액'!A:F,6,0)</f>
        <v>4389054</v>
      </c>
      <c r="N89" s="14">
        <f>K89-H89</f>
        <v>23479852</v>
      </c>
      <c r="O89" s="14">
        <f>L89-I89</f>
        <v>2347981</v>
      </c>
      <c r="P89" s="14">
        <f>M89-J89</f>
        <v>4389054</v>
      </c>
      <c r="Q89" s="4" t="b">
        <f>AND(N89&lt;&gt;0,O89&lt;&gt;0)</f>
        <v>1</v>
      </c>
      <c r="R89" s="4" t="b">
        <f>P89&lt;&gt;0</f>
        <v>1</v>
      </c>
    </row>
    <row r="90" spans="2:18" ht="18" thickBot="1" x14ac:dyDescent="0.45">
      <c r="B90" s="33" t="s">
        <v>383</v>
      </c>
      <c r="C90" s="34" t="s">
        <v>384</v>
      </c>
      <c r="D90" s="35">
        <v>1048531971</v>
      </c>
      <c r="E90" s="4" t="str">
        <f>LEFT(D90,3)</f>
        <v>104</v>
      </c>
      <c r="F90" s="4" t="str">
        <f>MID(D90,4,2)</f>
        <v>85</v>
      </c>
      <c r="G90" s="4" t="str">
        <f>RIGHT(D90,5)</f>
        <v>31971</v>
      </c>
      <c r="H90" s="13">
        <f>IFERROR(VLOOKUP($B90,'SAP 금액'!$A:$C,2,0),0)</f>
        <v>0</v>
      </c>
      <c r="I90" s="13">
        <f>IFERROR(VLOOKUP($B90,'SAP 금액'!$A:$C,3,0),0)</f>
        <v>0</v>
      </c>
      <c r="J90" s="13">
        <f>IFERROR(VLOOKUP(B90,'SAP 금액'!E:F,2,0),0)</f>
        <v>0</v>
      </c>
      <c r="K90" s="13">
        <f>VLOOKUP($B90,'국세청 금액'!$A:$C,2,0)</f>
        <v>82166135</v>
      </c>
      <c r="L90" s="13">
        <f>VLOOKUP($B90,'국세청 금액'!$A:$C,3,0)</f>
        <v>8216613</v>
      </c>
      <c r="M90" s="13">
        <f>VLOOKUP(B90,'국세청 금액'!A:F,6,0)</f>
        <v>16479</v>
      </c>
      <c r="N90" s="14">
        <f>K90-H90</f>
        <v>82166135</v>
      </c>
      <c r="O90" s="14">
        <f>L90-I90</f>
        <v>8216613</v>
      </c>
      <c r="P90" s="14">
        <f>M90-J90</f>
        <v>16479</v>
      </c>
      <c r="Q90" s="4" t="b">
        <f>AND(N90&lt;&gt;0,O90&lt;&gt;0)</f>
        <v>1</v>
      </c>
      <c r="R90" s="4" t="b">
        <f>P90&lt;&gt;0</f>
        <v>1</v>
      </c>
    </row>
    <row r="91" spans="2:18" ht="18" thickBot="1" x14ac:dyDescent="0.45">
      <c r="B91" s="33" t="s">
        <v>385</v>
      </c>
      <c r="C91" s="34" t="s">
        <v>386</v>
      </c>
      <c r="D91" s="35">
        <v>1998501228</v>
      </c>
      <c r="E91" s="4" t="str">
        <f>LEFT(D91,3)</f>
        <v>199</v>
      </c>
      <c r="F91" s="4" t="str">
        <f>MID(D91,4,2)</f>
        <v>85</v>
      </c>
      <c r="G91" s="4" t="str">
        <f>RIGHT(D91,5)</f>
        <v>01228</v>
      </c>
      <c r="H91" s="13">
        <f>IFERROR(VLOOKUP($B91,'SAP 금액'!$A:$C,2,0),0)</f>
        <v>0</v>
      </c>
      <c r="I91" s="13">
        <f>IFERROR(VLOOKUP($B91,'SAP 금액'!$A:$C,3,0),0)</f>
        <v>0</v>
      </c>
      <c r="J91" s="13">
        <f>IFERROR(VLOOKUP(B91,'SAP 금액'!E:F,2,0),0)</f>
        <v>0</v>
      </c>
      <c r="K91" s="13">
        <f>VLOOKUP($B91,'국세청 금액'!$A:$C,2,0)</f>
        <v>44687176</v>
      </c>
      <c r="L91" s="13">
        <f>VLOOKUP($B91,'국세청 금액'!$A:$C,3,0)</f>
        <v>4468308</v>
      </c>
      <c r="M91" s="13">
        <f>VLOOKUP(B91,'국세청 금액'!A:F,6,0)</f>
        <v>6271930</v>
      </c>
      <c r="N91" s="14">
        <f>K91-H91</f>
        <v>44687176</v>
      </c>
      <c r="O91" s="14">
        <f>L91-I91</f>
        <v>4468308</v>
      </c>
      <c r="P91" s="14">
        <f>M91-J91</f>
        <v>6271930</v>
      </c>
      <c r="Q91" s="4" t="b">
        <f>AND(N91&lt;&gt;0,O91&lt;&gt;0)</f>
        <v>1</v>
      </c>
      <c r="R91" s="4" t="b">
        <f>P91&lt;&gt;0</f>
        <v>1</v>
      </c>
    </row>
    <row r="92" spans="2:18" ht="18" thickBot="1" x14ac:dyDescent="0.45">
      <c r="B92" s="33" t="s">
        <v>387</v>
      </c>
      <c r="C92" s="34" t="s">
        <v>388</v>
      </c>
      <c r="D92" s="35">
        <v>6778501257</v>
      </c>
      <c r="E92" s="4" t="str">
        <f>LEFT(D92,3)</f>
        <v>677</v>
      </c>
      <c r="F92" s="4" t="str">
        <f>MID(D92,4,2)</f>
        <v>85</v>
      </c>
      <c r="G92" s="4" t="str">
        <f>RIGHT(D92,5)</f>
        <v>01257</v>
      </c>
      <c r="H92" s="13">
        <f>IFERROR(VLOOKUP($B92,'SAP 금액'!$A:$C,2,0),0)</f>
        <v>0</v>
      </c>
      <c r="I92" s="13">
        <f>IFERROR(VLOOKUP($B92,'SAP 금액'!$A:$C,3,0),0)</f>
        <v>0</v>
      </c>
      <c r="J92" s="13">
        <f>IFERROR(VLOOKUP(B92,'SAP 금액'!E:F,2,0),0)</f>
        <v>0</v>
      </c>
      <c r="K92" s="13">
        <f>VLOOKUP($B92,'국세청 금액'!$A:$C,2,0)</f>
        <v>74625631</v>
      </c>
      <c r="L92" s="13">
        <f>VLOOKUP($B92,'국세청 금액'!$A:$C,3,0)</f>
        <v>7462558</v>
      </c>
      <c r="M92" s="13">
        <f>VLOOKUP(B92,'국세청 금액'!A:F,6,0)</f>
        <v>0</v>
      </c>
      <c r="N92" s="14">
        <f>K92-H92</f>
        <v>74625631</v>
      </c>
      <c r="O92" s="14">
        <f>L92-I92</f>
        <v>7462558</v>
      </c>
      <c r="P92" s="14">
        <f>M92-J92</f>
        <v>0</v>
      </c>
      <c r="Q92" s="4" t="b">
        <f>AND(N92&lt;&gt;0,O92&lt;&gt;0)</f>
        <v>1</v>
      </c>
      <c r="R92" s="4" t="b">
        <f>P92&lt;&gt;0</f>
        <v>0</v>
      </c>
    </row>
    <row r="93" spans="2:18" ht="18" thickBot="1" x14ac:dyDescent="0.45">
      <c r="B93" s="33" t="s">
        <v>389</v>
      </c>
      <c r="C93" s="34" t="s">
        <v>390</v>
      </c>
      <c r="D93" s="35">
        <v>4038524829</v>
      </c>
      <c r="E93" s="4" t="str">
        <f>LEFT(D93,3)</f>
        <v>403</v>
      </c>
      <c r="F93" s="4" t="str">
        <f>MID(D93,4,2)</f>
        <v>85</v>
      </c>
      <c r="G93" s="4" t="str">
        <f>RIGHT(D93,5)</f>
        <v>24829</v>
      </c>
      <c r="H93" s="13">
        <f>IFERROR(VLOOKUP($B93,'SAP 금액'!$A:$C,2,0),0)</f>
        <v>0</v>
      </c>
      <c r="I93" s="13">
        <f>IFERROR(VLOOKUP($B93,'SAP 금액'!$A:$C,3,0),0)</f>
        <v>0</v>
      </c>
      <c r="J93" s="13">
        <f>IFERROR(VLOOKUP(B93,'SAP 금액'!E:F,2,0),0)</f>
        <v>0</v>
      </c>
      <c r="K93" s="13">
        <f>VLOOKUP($B93,'국세청 금액'!$A:$C,2,0)</f>
        <v>682659</v>
      </c>
      <c r="L93" s="13">
        <f>VLOOKUP($B93,'국세청 금액'!$A:$C,3,0)</f>
        <v>68266</v>
      </c>
      <c r="M93" s="13">
        <f>VLOOKUP(B93,'국세청 금액'!A:F,6,0)</f>
        <v>40000</v>
      </c>
      <c r="N93" s="14">
        <f>K93-H93</f>
        <v>682659</v>
      </c>
      <c r="O93" s="14">
        <f>L93-I93</f>
        <v>68266</v>
      </c>
      <c r="P93" s="14">
        <f>M93-J93</f>
        <v>40000</v>
      </c>
      <c r="Q93" s="4" t="b">
        <f>AND(N93&lt;&gt;0,O93&lt;&gt;0)</f>
        <v>1</v>
      </c>
      <c r="R93" s="4" t="b">
        <f>P93&lt;&gt;0</f>
        <v>1</v>
      </c>
    </row>
    <row r="94" spans="2:18" ht="18" thickBot="1" x14ac:dyDescent="0.45">
      <c r="B94" s="33" t="s">
        <v>391</v>
      </c>
      <c r="C94" s="34" t="s">
        <v>392</v>
      </c>
      <c r="D94" s="35">
        <v>7318501207</v>
      </c>
      <c r="E94" s="4" t="str">
        <f>LEFT(D94,3)</f>
        <v>731</v>
      </c>
      <c r="F94" s="4" t="str">
        <f>MID(D94,4,2)</f>
        <v>85</v>
      </c>
      <c r="G94" s="4" t="str">
        <f>RIGHT(D94,5)</f>
        <v>01207</v>
      </c>
      <c r="H94" s="13">
        <f>IFERROR(VLOOKUP($B94,'SAP 금액'!$A:$C,2,0),0)</f>
        <v>0</v>
      </c>
      <c r="I94" s="13">
        <f>IFERROR(VLOOKUP($B94,'SAP 금액'!$A:$C,3,0),0)</f>
        <v>0</v>
      </c>
      <c r="J94" s="13">
        <f>IFERROR(VLOOKUP(B94,'SAP 금액'!E:F,2,0),0)</f>
        <v>0</v>
      </c>
      <c r="K94" s="13">
        <f>VLOOKUP($B94,'국세청 금액'!$A:$C,2,0)</f>
        <v>25681059</v>
      </c>
      <c r="L94" s="13">
        <f>VLOOKUP($B94,'국세청 금액'!$A:$C,3,0)</f>
        <v>2568103</v>
      </c>
      <c r="M94" s="13">
        <f>VLOOKUP(B94,'국세청 금액'!A:F,6,0)</f>
        <v>25000</v>
      </c>
      <c r="N94" s="14">
        <f>K94-H94</f>
        <v>25681059</v>
      </c>
      <c r="O94" s="14">
        <f>L94-I94</f>
        <v>2568103</v>
      </c>
      <c r="P94" s="14">
        <f>M94-J94</f>
        <v>25000</v>
      </c>
      <c r="Q94" s="4" t="b">
        <f>AND(N94&lt;&gt;0,O94&lt;&gt;0)</f>
        <v>1</v>
      </c>
      <c r="R94" s="4" t="b">
        <f>P94&lt;&gt;0</f>
        <v>1</v>
      </c>
    </row>
    <row r="95" spans="2:18" ht="18" thickBot="1" x14ac:dyDescent="0.45">
      <c r="B95" s="33" t="s">
        <v>393</v>
      </c>
      <c r="C95" s="34" t="s">
        <v>394</v>
      </c>
      <c r="D95" s="35">
        <v>1718501079</v>
      </c>
      <c r="E95" s="4" t="str">
        <f>LEFT(D95,3)</f>
        <v>171</v>
      </c>
      <c r="F95" s="4" t="str">
        <f>MID(D95,4,2)</f>
        <v>85</v>
      </c>
      <c r="G95" s="4" t="str">
        <f>RIGHT(D95,5)</f>
        <v>01079</v>
      </c>
      <c r="H95" s="13">
        <f>IFERROR(VLOOKUP($B95,'SAP 금액'!$A:$C,2,0),0)</f>
        <v>0</v>
      </c>
      <c r="I95" s="13">
        <f>IFERROR(VLOOKUP($B95,'SAP 금액'!$A:$C,3,0),0)</f>
        <v>0</v>
      </c>
      <c r="J95" s="13">
        <f>IFERROR(VLOOKUP(B95,'SAP 금액'!E:F,2,0),0)</f>
        <v>0</v>
      </c>
      <c r="K95" s="13">
        <f>VLOOKUP($B95,'국세청 금액'!$A:$C,2,0)</f>
        <v>177851546</v>
      </c>
      <c r="L95" s="13">
        <f>VLOOKUP($B95,'국세청 금액'!$A:$C,3,0)</f>
        <v>17785149</v>
      </c>
      <c r="M95" s="13">
        <f>VLOOKUP(B95,'국세청 금액'!A:F,6,0)</f>
        <v>510000</v>
      </c>
      <c r="N95" s="14">
        <f>K95-H95</f>
        <v>177851546</v>
      </c>
      <c r="O95" s="14">
        <f>L95-I95</f>
        <v>17785149</v>
      </c>
      <c r="P95" s="14">
        <f>M95-J95</f>
        <v>510000</v>
      </c>
      <c r="Q95" s="4" t="b">
        <f>AND(N95&lt;&gt;0,O95&lt;&gt;0)</f>
        <v>1</v>
      </c>
      <c r="R95" s="4" t="b">
        <f>P95&lt;&gt;0</f>
        <v>1</v>
      </c>
    </row>
    <row r="96" spans="2:18" ht="18" thickBot="1" x14ac:dyDescent="0.45">
      <c r="B96" s="33" t="s">
        <v>395</v>
      </c>
      <c r="C96" s="34" t="s">
        <v>396</v>
      </c>
      <c r="D96" s="35">
        <v>3538501142</v>
      </c>
      <c r="E96" s="4" t="str">
        <f>LEFT(D96,3)</f>
        <v>353</v>
      </c>
      <c r="F96" s="4" t="str">
        <f>MID(D96,4,2)</f>
        <v>85</v>
      </c>
      <c r="G96" s="4" t="str">
        <f>RIGHT(D96,5)</f>
        <v>01142</v>
      </c>
      <c r="H96" s="13">
        <f>IFERROR(VLOOKUP($B96,'SAP 금액'!$A:$C,2,0),0)</f>
        <v>0</v>
      </c>
      <c r="I96" s="13">
        <f>IFERROR(VLOOKUP($B96,'SAP 금액'!$A:$C,3,0),0)</f>
        <v>0</v>
      </c>
      <c r="J96" s="13">
        <f>IFERROR(VLOOKUP(B96,'SAP 금액'!E:F,2,0),0)</f>
        <v>0</v>
      </c>
      <c r="K96" s="13">
        <f>VLOOKUP($B96,'국세청 금액'!$A:$C,2,0)</f>
        <v>46602801</v>
      </c>
      <c r="L96" s="13">
        <f>VLOOKUP($B96,'국세청 금액'!$A:$C,3,0)</f>
        <v>4660267</v>
      </c>
      <c r="M96" s="13">
        <f>VLOOKUP(B96,'국세청 금액'!A:F,6,0)</f>
        <v>516726</v>
      </c>
      <c r="N96" s="14">
        <f>K96-H96</f>
        <v>46602801</v>
      </c>
      <c r="O96" s="14">
        <f>L96-I96</f>
        <v>4660267</v>
      </c>
      <c r="P96" s="14">
        <f>M96-J96</f>
        <v>516726</v>
      </c>
      <c r="Q96" s="4" t="b">
        <f>AND(N96&lt;&gt;0,O96&lt;&gt;0)</f>
        <v>1</v>
      </c>
      <c r="R96" s="4" t="b">
        <f>P96&lt;&gt;0</f>
        <v>1</v>
      </c>
    </row>
    <row r="97" spans="2:18" ht="18" thickBot="1" x14ac:dyDescent="0.45">
      <c r="B97" s="33" t="s">
        <v>397</v>
      </c>
      <c r="C97" s="34" t="s">
        <v>398</v>
      </c>
      <c r="D97" s="35">
        <v>5458501246</v>
      </c>
      <c r="E97" s="4" t="str">
        <f>LEFT(D97,3)</f>
        <v>545</v>
      </c>
      <c r="F97" s="4" t="str">
        <f>MID(D97,4,2)</f>
        <v>85</v>
      </c>
      <c r="G97" s="4" t="str">
        <f>RIGHT(D97,5)</f>
        <v>01246</v>
      </c>
      <c r="H97" s="13">
        <f>IFERROR(VLOOKUP($B97,'SAP 금액'!$A:$C,2,0),0)</f>
        <v>0</v>
      </c>
      <c r="I97" s="13">
        <f>IFERROR(VLOOKUP($B97,'SAP 금액'!$A:$C,3,0),0)</f>
        <v>0</v>
      </c>
      <c r="J97" s="13">
        <f>IFERROR(VLOOKUP(B97,'SAP 금액'!E:F,2,0),0)</f>
        <v>0</v>
      </c>
      <c r="K97" s="13">
        <f>VLOOKUP($B97,'국세청 금액'!$A:$C,2,0)</f>
        <v>41424368</v>
      </c>
      <c r="L97" s="13">
        <f>VLOOKUP($B97,'국세청 금액'!$A:$C,3,0)</f>
        <v>4142391</v>
      </c>
      <c r="M97" s="13">
        <f>VLOOKUP(B97,'국세청 금액'!A:F,6,0)</f>
        <v>34843</v>
      </c>
      <c r="N97" s="14">
        <f>K97-H97</f>
        <v>41424368</v>
      </c>
      <c r="O97" s="14">
        <f>L97-I97</f>
        <v>4142391</v>
      </c>
      <c r="P97" s="14">
        <f>M97-J97</f>
        <v>34843</v>
      </c>
      <c r="Q97" s="4" t="b">
        <f>AND(N97&lt;&gt;0,O97&lt;&gt;0)</f>
        <v>1</v>
      </c>
      <c r="R97" s="4" t="b">
        <f>P97&lt;&gt;0</f>
        <v>1</v>
      </c>
    </row>
    <row r="98" spans="2:18" ht="18" thickBot="1" x14ac:dyDescent="0.45">
      <c r="B98" s="33" t="s">
        <v>399</v>
      </c>
      <c r="C98" s="34" t="s">
        <v>400</v>
      </c>
      <c r="D98" s="35">
        <v>6598500959</v>
      </c>
      <c r="E98" s="4" t="str">
        <f>LEFT(D98,3)</f>
        <v>659</v>
      </c>
      <c r="F98" s="4" t="str">
        <f>MID(D98,4,2)</f>
        <v>85</v>
      </c>
      <c r="G98" s="4" t="str">
        <f>RIGHT(D98,5)</f>
        <v>00959</v>
      </c>
      <c r="H98" s="13">
        <f>IFERROR(VLOOKUP($B98,'SAP 금액'!$A:$C,2,0),0)</f>
        <v>0</v>
      </c>
      <c r="I98" s="13">
        <f>IFERROR(VLOOKUP($B98,'SAP 금액'!$A:$C,3,0),0)</f>
        <v>0</v>
      </c>
      <c r="J98" s="13">
        <f>IFERROR(VLOOKUP(B98,'SAP 금액'!E:F,2,0),0)</f>
        <v>0</v>
      </c>
      <c r="K98" s="13">
        <f>VLOOKUP($B98,'국세청 금액'!$A:$C,2,0)</f>
        <v>59300000</v>
      </c>
      <c r="L98" s="13">
        <f>VLOOKUP($B98,'국세청 금액'!$A:$C,3,0)</f>
        <v>5930000</v>
      </c>
      <c r="M98" s="13">
        <f>VLOOKUP(B98,'국세청 금액'!A:F,6,0)</f>
        <v>0</v>
      </c>
      <c r="N98" s="14">
        <f>K98-H98</f>
        <v>59300000</v>
      </c>
      <c r="O98" s="14">
        <f>L98-I98</f>
        <v>5930000</v>
      </c>
      <c r="P98" s="14">
        <f>M98-J98</f>
        <v>0</v>
      </c>
      <c r="Q98" s="4" t="b">
        <f>AND(N98&lt;&gt;0,O98&lt;&gt;0)</f>
        <v>1</v>
      </c>
      <c r="R98" s="4" t="b">
        <f>P98&lt;&gt;0</f>
        <v>0</v>
      </c>
    </row>
    <row r="99" spans="2:18" ht="18" thickBot="1" x14ac:dyDescent="0.45">
      <c r="B99" s="33" t="s">
        <v>401</v>
      </c>
      <c r="C99" s="34" t="s">
        <v>402</v>
      </c>
      <c r="D99" s="35">
        <v>5278501097</v>
      </c>
      <c r="E99" s="4" t="str">
        <f>LEFT(D99,3)</f>
        <v>527</v>
      </c>
      <c r="F99" s="4" t="str">
        <f>MID(D99,4,2)</f>
        <v>85</v>
      </c>
      <c r="G99" s="4" t="str">
        <f>RIGHT(D99,5)</f>
        <v>01097</v>
      </c>
      <c r="H99" s="13">
        <f>IFERROR(VLOOKUP($B99,'SAP 금액'!$A:$C,2,0),0)</f>
        <v>0</v>
      </c>
      <c r="I99" s="13">
        <f>IFERROR(VLOOKUP($B99,'SAP 금액'!$A:$C,3,0),0)</f>
        <v>0</v>
      </c>
      <c r="J99" s="13">
        <f>IFERROR(VLOOKUP(B99,'SAP 금액'!E:F,2,0),0)</f>
        <v>0</v>
      </c>
      <c r="K99" s="13">
        <f>VLOOKUP($B99,'국세청 금액'!$A:$C,2,0)</f>
        <v>355252</v>
      </c>
      <c r="L99" s="13">
        <f>VLOOKUP($B99,'국세청 금액'!$A:$C,3,0)</f>
        <v>35524</v>
      </c>
      <c r="M99" s="13">
        <f>VLOOKUP(B99,'국세청 금액'!A:F,6,0)</f>
        <v>0</v>
      </c>
      <c r="N99" s="14">
        <f>K99-H99</f>
        <v>355252</v>
      </c>
      <c r="O99" s="14">
        <f>L99-I99</f>
        <v>35524</v>
      </c>
      <c r="P99" s="14">
        <f>M99-J99</f>
        <v>0</v>
      </c>
      <c r="Q99" s="4" t="b">
        <f>AND(N99&lt;&gt;0,O99&lt;&gt;0)</f>
        <v>1</v>
      </c>
      <c r="R99" s="4" t="b">
        <f>P99&lt;&gt;0</f>
        <v>0</v>
      </c>
    </row>
    <row r="100" spans="2:18" ht="18" thickBot="1" x14ac:dyDescent="0.45">
      <c r="B100" s="33" t="s">
        <v>403</v>
      </c>
      <c r="C100" s="34" t="s">
        <v>404</v>
      </c>
      <c r="D100" s="35">
        <v>3148554872</v>
      </c>
      <c r="E100" s="4" t="str">
        <f>LEFT(D100,3)</f>
        <v>314</v>
      </c>
      <c r="F100" s="4" t="str">
        <f>MID(D100,4,2)</f>
        <v>85</v>
      </c>
      <c r="G100" s="4" t="str">
        <f>RIGHT(D100,5)</f>
        <v>54872</v>
      </c>
      <c r="H100" s="13">
        <f>IFERROR(VLOOKUP($B100,'SAP 금액'!$A:$C,2,0),0)</f>
        <v>0</v>
      </c>
      <c r="I100" s="13">
        <f>IFERROR(VLOOKUP($B100,'SAP 금액'!$A:$C,3,0),0)</f>
        <v>0</v>
      </c>
      <c r="J100" s="13">
        <f>IFERROR(VLOOKUP(B100,'SAP 금액'!E:F,2,0),0)</f>
        <v>0</v>
      </c>
      <c r="K100" s="13">
        <f>VLOOKUP($B100,'국세청 금액'!$A:$C,2,0)</f>
        <v>5137616</v>
      </c>
      <c r="L100" s="13">
        <f>VLOOKUP($B100,'국세청 금액'!$A:$C,3,0)</f>
        <v>513757</v>
      </c>
      <c r="M100" s="13">
        <f>VLOOKUP(B100,'국세청 금액'!A:F,6,0)</f>
        <v>40000</v>
      </c>
      <c r="N100" s="14">
        <f>K100-H100</f>
        <v>5137616</v>
      </c>
      <c r="O100" s="14">
        <f>L100-I100</f>
        <v>513757</v>
      </c>
      <c r="P100" s="14">
        <f>M100-J100</f>
        <v>40000</v>
      </c>
      <c r="Q100" s="4" t="b">
        <f>AND(N100&lt;&gt;0,O100&lt;&gt;0)</f>
        <v>1</v>
      </c>
      <c r="R100" s="4" t="b">
        <f>P100&lt;&gt;0</f>
        <v>1</v>
      </c>
    </row>
    <row r="101" spans="2:18" ht="18" thickBot="1" x14ac:dyDescent="0.45">
      <c r="B101" s="33" t="s">
        <v>405</v>
      </c>
      <c r="C101" s="34" t="s">
        <v>406</v>
      </c>
      <c r="D101" s="35">
        <v>6448501053</v>
      </c>
      <c r="E101" s="4" t="str">
        <f>LEFT(D101,3)</f>
        <v>644</v>
      </c>
      <c r="F101" s="4" t="str">
        <f>MID(D101,4,2)</f>
        <v>85</v>
      </c>
      <c r="G101" s="4" t="str">
        <f>RIGHT(D101,5)</f>
        <v>01053</v>
      </c>
      <c r="H101" s="13">
        <f>IFERROR(VLOOKUP($B101,'SAP 금액'!$A:$C,2,0),0)</f>
        <v>0</v>
      </c>
      <c r="I101" s="13">
        <f>IFERROR(VLOOKUP($B101,'SAP 금액'!$A:$C,3,0),0)</f>
        <v>0</v>
      </c>
      <c r="J101" s="13">
        <f>IFERROR(VLOOKUP(B101,'SAP 금액'!E:F,2,0),0)</f>
        <v>0</v>
      </c>
      <c r="K101" s="13">
        <f>VLOOKUP($B101,'국세청 금액'!$A:$C,2,0)</f>
        <v>3335425</v>
      </c>
      <c r="L101" s="13">
        <f>VLOOKUP($B101,'국세청 금액'!$A:$C,3,0)</f>
        <v>333541</v>
      </c>
      <c r="M101" s="13">
        <f>VLOOKUP(B101,'국세청 금액'!A:F,6,0)</f>
        <v>230000</v>
      </c>
      <c r="N101" s="14">
        <f>K101-H101</f>
        <v>3335425</v>
      </c>
      <c r="O101" s="14">
        <f>L101-I101</f>
        <v>333541</v>
      </c>
      <c r="P101" s="14">
        <f>M101-J101</f>
        <v>230000</v>
      </c>
      <c r="Q101" s="4" t="b">
        <f>AND(N101&lt;&gt;0,O101&lt;&gt;0)</f>
        <v>1</v>
      </c>
      <c r="R101" s="4" t="b">
        <f>P101&lt;&gt;0</f>
        <v>1</v>
      </c>
    </row>
    <row r="102" spans="2:18" ht="18" thickBot="1" x14ac:dyDescent="0.45">
      <c r="B102" s="33" t="s">
        <v>407</v>
      </c>
      <c r="C102" s="34" t="s">
        <v>408</v>
      </c>
      <c r="D102" s="35">
        <v>8158501145</v>
      </c>
      <c r="E102" s="4" t="str">
        <f>LEFT(D102,3)</f>
        <v>815</v>
      </c>
      <c r="F102" s="4" t="str">
        <f>MID(D102,4,2)</f>
        <v>85</v>
      </c>
      <c r="G102" s="4" t="str">
        <f>RIGHT(D102,5)</f>
        <v>01145</v>
      </c>
      <c r="H102" s="13">
        <f>IFERROR(VLOOKUP($B102,'SAP 금액'!$A:$C,2,0),0)</f>
        <v>0</v>
      </c>
      <c r="I102" s="13">
        <f>IFERROR(VLOOKUP($B102,'SAP 금액'!$A:$C,3,0),0)</f>
        <v>0</v>
      </c>
      <c r="J102" s="13">
        <f>IFERROR(VLOOKUP(B102,'SAP 금액'!E:F,2,0),0)</f>
        <v>0</v>
      </c>
      <c r="K102" s="13">
        <f>VLOOKUP($B102,'국세청 금액'!$A:$C,2,0)</f>
        <v>237493</v>
      </c>
      <c r="L102" s="13">
        <f>VLOOKUP($B102,'국세청 금액'!$A:$C,3,0)</f>
        <v>23749</v>
      </c>
      <c r="M102" s="13">
        <f>VLOOKUP(B102,'국세청 금액'!A:F,6,0)</f>
        <v>0</v>
      </c>
      <c r="N102" s="14">
        <f>K102-H102</f>
        <v>237493</v>
      </c>
      <c r="O102" s="14">
        <f>L102-I102</f>
        <v>23749</v>
      </c>
      <c r="P102" s="14">
        <f>M102-J102</f>
        <v>0</v>
      </c>
      <c r="Q102" s="4" t="b">
        <f>AND(N102&lt;&gt;0,O102&lt;&gt;0)</f>
        <v>1</v>
      </c>
      <c r="R102" s="4" t="b">
        <f>P102&lt;&gt;0</f>
        <v>0</v>
      </c>
    </row>
    <row r="103" spans="2:18" ht="18" thickBot="1" x14ac:dyDescent="0.45">
      <c r="B103" s="33" t="s">
        <v>409</v>
      </c>
      <c r="C103" s="34" t="s">
        <v>410</v>
      </c>
      <c r="D103" s="35">
        <v>1518501167</v>
      </c>
      <c r="E103" s="4" t="str">
        <f>LEFT(D103,3)</f>
        <v>151</v>
      </c>
      <c r="F103" s="4" t="str">
        <f>MID(D103,4,2)</f>
        <v>85</v>
      </c>
      <c r="G103" s="4" t="str">
        <f>RIGHT(D103,5)</f>
        <v>01167</v>
      </c>
      <c r="H103" s="13">
        <f>IFERROR(VLOOKUP($B103,'SAP 금액'!$A:$C,2,0),0)</f>
        <v>0</v>
      </c>
      <c r="I103" s="13">
        <f>IFERROR(VLOOKUP($B103,'SAP 금액'!$A:$C,3,0),0)</f>
        <v>0</v>
      </c>
      <c r="J103" s="13">
        <f>IFERROR(VLOOKUP(B103,'SAP 금액'!E:F,2,0),0)</f>
        <v>0</v>
      </c>
      <c r="K103" s="13">
        <f>VLOOKUP($B103,'국세청 금액'!$A:$C,2,0)</f>
        <v>30032923</v>
      </c>
      <c r="L103" s="13">
        <f>VLOOKUP($B103,'국세청 금액'!$A:$C,3,0)</f>
        <v>3003287</v>
      </c>
      <c r="M103" s="13">
        <f>VLOOKUP(B103,'국세청 금액'!A:F,6,0)</f>
        <v>2585788</v>
      </c>
      <c r="N103" s="14">
        <f>K103-H103</f>
        <v>30032923</v>
      </c>
      <c r="O103" s="14">
        <f>L103-I103</f>
        <v>3003287</v>
      </c>
      <c r="P103" s="14">
        <f>M103-J103</f>
        <v>2585788</v>
      </c>
      <c r="Q103" s="4" t="b">
        <f>AND(N103&lt;&gt;0,O103&lt;&gt;0)</f>
        <v>1</v>
      </c>
      <c r="R103" s="4" t="b">
        <f>P103&lt;&gt;0</f>
        <v>1</v>
      </c>
    </row>
    <row r="104" spans="2:18" ht="18" thickBot="1" x14ac:dyDescent="0.45">
      <c r="B104" s="33" t="s">
        <v>411</v>
      </c>
      <c r="C104" s="34" t="s">
        <v>412</v>
      </c>
      <c r="D104" s="35">
        <v>6468501118</v>
      </c>
      <c r="E104" s="4" t="str">
        <f>LEFT(D104,3)</f>
        <v>646</v>
      </c>
      <c r="F104" s="4" t="str">
        <f>MID(D104,4,2)</f>
        <v>85</v>
      </c>
      <c r="G104" s="4" t="str">
        <f>RIGHT(D104,5)</f>
        <v>01118</v>
      </c>
      <c r="H104" s="13">
        <f>IFERROR(VLOOKUP($B104,'SAP 금액'!$A:$C,2,0),0)</f>
        <v>0</v>
      </c>
      <c r="I104" s="13">
        <f>IFERROR(VLOOKUP($B104,'SAP 금액'!$A:$C,3,0),0)</f>
        <v>0</v>
      </c>
      <c r="J104" s="13">
        <f>IFERROR(VLOOKUP(B104,'SAP 금액'!E:F,2,0),0)</f>
        <v>0</v>
      </c>
      <c r="K104" s="13">
        <f>VLOOKUP($B104,'국세청 금액'!$A:$C,2,0)</f>
        <v>61767381</v>
      </c>
      <c r="L104" s="13">
        <f>VLOOKUP($B104,'국세청 금액'!$A:$C,3,0)</f>
        <v>6176737</v>
      </c>
      <c r="M104" s="13">
        <f>VLOOKUP(B104,'국세청 금액'!A:F,6,0)</f>
        <v>237642</v>
      </c>
      <c r="N104" s="14">
        <f>K104-H104</f>
        <v>61767381</v>
      </c>
      <c r="O104" s="14">
        <f>L104-I104</f>
        <v>6176737</v>
      </c>
      <c r="P104" s="14">
        <f>M104-J104</f>
        <v>237642</v>
      </c>
      <c r="Q104" s="4" t="b">
        <f>AND(N104&lt;&gt;0,O104&lt;&gt;0)</f>
        <v>1</v>
      </c>
      <c r="R104" s="4" t="b">
        <f>P104&lt;&gt;0</f>
        <v>1</v>
      </c>
    </row>
    <row r="105" spans="2:18" ht="18" thickBot="1" x14ac:dyDescent="0.45">
      <c r="B105" s="33" t="s">
        <v>413</v>
      </c>
      <c r="C105" s="34" t="s">
        <v>414</v>
      </c>
      <c r="D105" s="35">
        <v>5668501170</v>
      </c>
      <c r="E105" s="4" t="str">
        <f>LEFT(D105,3)</f>
        <v>566</v>
      </c>
      <c r="F105" s="4" t="str">
        <f>MID(D105,4,2)</f>
        <v>85</v>
      </c>
      <c r="G105" s="4" t="str">
        <f>RIGHT(D105,5)</f>
        <v>01170</v>
      </c>
      <c r="H105" s="13">
        <f>IFERROR(VLOOKUP($B105,'SAP 금액'!$A:$C,2,0),0)</f>
        <v>0</v>
      </c>
      <c r="I105" s="13">
        <f>IFERROR(VLOOKUP($B105,'SAP 금액'!$A:$C,3,0),0)</f>
        <v>0</v>
      </c>
      <c r="J105" s="13">
        <f>IFERROR(VLOOKUP(B105,'SAP 금액'!E:F,2,0),0)</f>
        <v>0</v>
      </c>
      <c r="K105" s="13">
        <f>VLOOKUP($B105,'국세청 금액'!$A:$C,2,0)</f>
        <v>18664134</v>
      </c>
      <c r="L105" s="13">
        <f>VLOOKUP($B105,'국세청 금액'!$A:$C,3,0)</f>
        <v>1866411</v>
      </c>
      <c r="M105" s="13">
        <f>VLOOKUP(B105,'국세청 금액'!A:F,6,0)</f>
        <v>3985795</v>
      </c>
      <c r="N105" s="14">
        <f>K105-H105</f>
        <v>18664134</v>
      </c>
      <c r="O105" s="14">
        <f>L105-I105</f>
        <v>1866411</v>
      </c>
      <c r="P105" s="14">
        <f>M105-J105</f>
        <v>3985795</v>
      </c>
      <c r="Q105" s="4" t="b">
        <f>AND(N105&lt;&gt;0,O105&lt;&gt;0)</f>
        <v>1</v>
      </c>
      <c r="R105" s="4" t="b">
        <f>P105&lt;&gt;0</f>
        <v>1</v>
      </c>
    </row>
    <row r="106" spans="2:18" ht="18" thickBot="1" x14ac:dyDescent="0.45">
      <c r="B106" s="33" t="s">
        <v>415</v>
      </c>
      <c r="C106" s="34" t="s">
        <v>416</v>
      </c>
      <c r="D106" s="35">
        <v>3348501097</v>
      </c>
      <c r="E106" s="4" t="str">
        <f>LEFT(D106,3)</f>
        <v>334</v>
      </c>
      <c r="F106" s="4" t="str">
        <f>MID(D106,4,2)</f>
        <v>85</v>
      </c>
      <c r="G106" s="4" t="str">
        <f>RIGHT(D106,5)</f>
        <v>01097</v>
      </c>
      <c r="H106" s="13">
        <f>IFERROR(VLOOKUP($B106,'SAP 금액'!$A:$C,2,0),0)</f>
        <v>0</v>
      </c>
      <c r="I106" s="13">
        <f>IFERROR(VLOOKUP($B106,'SAP 금액'!$A:$C,3,0),0)</f>
        <v>0</v>
      </c>
      <c r="J106" s="13">
        <f>IFERROR(VLOOKUP(B106,'SAP 금액'!E:F,2,0),0)</f>
        <v>0</v>
      </c>
      <c r="K106" s="13">
        <f>VLOOKUP($B106,'국세청 금액'!$A:$C,2,0)</f>
        <v>114729128</v>
      </c>
      <c r="L106" s="13">
        <f>VLOOKUP($B106,'국세청 금액'!$A:$C,3,0)</f>
        <v>11472589</v>
      </c>
      <c r="M106" s="13">
        <f>VLOOKUP(B106,'국세청 금액'!A:F,6,0)</f>
        <v>0</v>
      </c>
      <c r="N106" s="14">
        <f>K106-H106</f>
        <v>114729128</v>
      </c>
      <c r="O106" s="14">
        <f>L106-I106</f>
        <v>11472589</v>
      </c>
      <c r="P106" s="14">
        <f>M106-J106</f>
        <v>0</v>
      </c>
      <c r="Q106" s="4" t="b">
        <f>AND(N106&lt;&gt;0,O106&lt;&gt;0)</f>
        <v>1</v>
      </c>
      <c r="R106" s="4" t="b">
        <f>P106&lt;&gt;0</f>
        <v>0</v>
      </c>
    </row>
    <row r="107" spans="2:18" ht="18" thickBot="1" x14ac:dyDescent="0.45">
      <c r="B107" s="33" t="s">
        <v>417</v>
      </c>
      <c r="C107" s="34" t="s">
        <v>418</v>
      </c>
      <c r="D107" s="35">
        <v>4788501193</v>
      </c>
      <c r="E107" s="4" t="str">
        <f>LEFT(D107,3)</f>
        <v>478</v>
      </c>
      <c r="F107" s="4" t="str">
        <f>MID(D107,4,2)</f>
        <v>85</v>
      </c>
      <c r="G107" s="4" t="str">
        <f>RIGHT(D107,5)</f>
        <v>01193</v>
      </c>
      <c r="H107" s="13">
        <f>IFERROR(VLOOKUP($B107,'SAP 금액'!$A:$C,2,0),0)</f>
        <v>0</v>
      </c>
      <c r="I107" s="13">
        <f>IFERROR(VLOOKUP($B107,'SAP 금액'!$A:$C,3,0),0)</f>
        <v>0</v>
      </c>
      <c r="J107" s="13">
        <f>IFERROR(VLOOKUP(B107,'SAP 금액'!E:F,2,0),0)</f>
        <v>0</v>
      </c>
      <c r="K107" s="13">
        <f>VLOOKUP($B107,'국세청 금액'!$A:$C,2,0)</f>
        <v>84922928</v>
      </c>
      <c r="L107" s="13">
        <f>VLOOKUP($B107,'국세청 금액'!$A:$C,3,0)</f>
        <v>8492301</v>
      </c>
      <c r="M107" s="13">
        <f>VLOOKUP(B107,'국세청 금액'!A:F,6,0)</f>
        <v>10467096</v>
      </c>
      <c r="N107" s="14">
        <f>K107-H107</f>
        <v>84922928</v>
      </c>
      <c r="O107" s="14">
        <f>L107-I107</f>
        <v>8492301</v>
      </c>
      <c r="P107" s="14">
        <f>M107-J107</f>
        <v>10467096</v>
      </c>
      <c r="Q107" s="4" t="b">
        <f>AND(N107&lt;&gt;0,O107&lt;&gt;0)</f>
        <v>1</v>
      </c>
      <c r="R107" s="4" t="b">
        <f>P107&lt;&gt;0</f>
        <v>1</v>
      </c>
    </row>
    <row r="108" spans="2:18" ht="18" thickBot="1" x14ac:dyDescent="0.45">
      <c r="B108" s="33" t="s">
        <v>419</v>
      </c>
      <c r="C108" s="34" t="s">
        <v>420</v>
      </c>
      <c r="D108" s="35">
        <v>6048512950</v>
      </c>
      <c r="E108" s="4" t="str">
        <f>LEFT(D108,3)</f>
        <v>604</v>
      </c>
      <c r="F108" s="4" t="str">
        <f>MID(D108,4,2)</f>
        <v>85</v>
      </c>
      <c r="G108" s="4" t="str">
        <f>RIGHT(D108,5)</f>
        <v>12950</v>
      </c>
      <c r="H108" s="13">
        <f>IFERROR(VLOOKUP($B108,'SAP 금액'!$A:$C,2,0),0)</f>
        <v>0</v>
      </c>
      <c r="I108" s="13">
        <f>IFERROR(VLOOKUP($B108,'SAP 금액'!$A:$C,3,0),0)</f>
        <v>0</v>
      </c>
      <c r="J108" s="13">
        <f>IFERROR(VLOOKUP(B108,'SAP 금액'!E:F,2,0),0)</f>
        <v>0</v>
      </c>
      <c r="K108" s="13">
        <f>VLOOKUP($B108,'국세청 금액'!$A:$C,2,0)</f>
        <v>177370155</v>
      </c>
      <c r="L108" s="13">
        <f>VLOOKUP($B108,'국세청 금액'!$A:$C,3,0)</f>
        <v>17737017</v>
      </c>
      <c r="M108" s="13">
        <f>VLOOKUP(B108,'국세청 금액'!A:F,6,0)</f>
        <v>0</v>
      </c>
      <c r="N108" s="14">
        <f>K108-H108</f>
        <v>177370155</v>
      </c>
      <c r="O108" s="14">
        <f>L108-I108</f>
        <v>17737017</v>
      </c>
      <c r="P108" s="14">
        <f>M108-J108</f>
        <v>0</v>
      </c>
      <c r="Q108" s="4" t="b">
        <f>AND(N108&lt;&gt;0,O108&lt;&gt;0)</f>
        <v>1</v>
      </c>
      <c r="R108" s="4" t="b">
        <f>P108&lt;&gt;0</f>
        <v>0</v>
      </c>
    </row>
    <row r="109" spans="2:18" ht="18" thickBot="1" x14ac:dyDescent="0.45">
      <c r="B109" s="33" t="s">
        <v>421</v>
      </c>
      <c r="C109" s="34" t="s">
        <v>422</v>
      </c>
      <c r="D109" s="35">
        <v>6488501055</v>
      </c>
      <c r="E109" s="4" t="str">
        <f>LEFT(D109,3)</f>
        <v>648</v>
      </c>
      <c r="F109" s="4" t="str">
        <f>MID(D109,4,2)</f>
        <v>85</v>
      </c>
      <c r="G109" s="4" t="str">
        <f>RIGHT(D109,5)</f>
        <v>01055</v>
      </c>
      <c r="H109" s="13">
        <f>IFERROR(VLOOKUP($B109,'SAP 금액'!$A:$C,2,0),0)</f>
        <v>0</v>
      </c>
      <c r="I109" s="13">
        <f>IFERROR(VLOOKUP($B109,'SAP 금액'!$A:$C,3,0),0)</f>
        <v>0</v>
      </c>
      <c r="J109" s="13">
        <f>IFERROR(VLOOKUP(B109,'SAP 금액'!E:F,2,0),0)</f>
        <v>0</v>
      </c>
      <c r="K109" s="13">
        <f>VLOOKUP($B109,'국세청 금액'!$A:$C,2,0)</f>
        <v>30442921</v>
      </c>
      <c r="L109" s="13">
        <f>VLOOKUP($B109,'국세청 금액'!$A:$C,3,0)</f>
        <v>3044286</v>
      </c>
      <c r="M109" s="13">
        <f>VLOOKUP(B109,'국세청 금액'!A:F,6,0)</f>
        <v>0</v>
      </c>
      <c r="N109" s="14">
        <f>K109-H109</f>
        <v>30442921</v>
      </c>
      <c r="O109" s="14">
        <f>L109-I109</f>
        <v>3044286</v>
      </c>
      <c r="P109" s="14">
        <f>M109-J109</f>
        <v>0</v>
      </c>
      <c r="Q109" s="4" t="b">
        <f>AND(N109&lt;&gt;0,O109&lt;&gt;0)</f>
        <v>1</v>
      </c>
      <c r="R109" s="4" t="b">
        <f>P109&lt;&gt;0</f>
        <v>0</v>
      </c>
    </row>
    <row r="110" spans="2:18" ht="18" thickBot="1" x14ac:dyDescent="0.45">
      <c r="B110" s="33" t="s">
        <v>423</v>
      </c>
      <c r="C110" s="34" t="s">
        <v>424</v>
      </c>
      <c r="D110" s="35">
        <v>6288501221</v>
      </c>
      <c r="E110" s="4" t="str">
        <f>LEFT(D110,3)</f>
        <v>628</v>
      </c>
      <c r="F110" s="4" t="str">
        <f>MID(D110,4,2)</f>
        <v>85</v>
      </c>
      <c r="G110" s="4" t="str">
        <f>RIGHT(D110,5)</f>
        <v>01221</v>
      </c>
      <c r="H110" s="13">
        <f>IFERROR(VLOOKUP($B110,'SAP 금액'!$A:$C,2,0),0)</f>
        <v>0</v>
      </c>
      <c r="I110" s="13">
        <f>IFERROR(VLOOKUP($B110,'SAP 금액'!$A:$C,3,0),0)</f>
        <v>0</v>
      </c>
      <c r="J110" s="13">
        <f>IFERROR(VLOOKUP(B110,'SAP 금액'!E:F,2,0),0)</f>
        <v>0</v>
      </c>
      <c r="K110" s="13">
        <f>VLOOKUP($B110,'국세청 금액'!$A:$C,2,0)</f>
        <v>7897802</v>
      </c>
      <c r="L110" s="13">
        <f>VLOOKUP($B110,'국세청 금액'!$A:$C,3,0)</f>
        <v>789778</v>
      </c>
      <c r="M110" s="13">
        <f>VLOOKUP(B110,'국세청 금액'!A:F,6,0)</f>
        <v>0</v>
      </c>
      <c r="N110" s="14">
        <f>K110-H110</f>
        <v>7897802</v>
      </c>
      <c r="O110" s="14">
        <f>L110-I110</f>
        <v>789778</v>
      </c>
      <c r="P110" s="14">
        <f>M110-J110</f>
        <v>0</v>
      </c>
      <c r="Q110" s="4" t="b">
        <f>AND(N110&lt;&gt;0,O110&lt;&gt;0)</f>
        <v>1</v>
      </c>
      <c r="R110" s="4" t="b">
        <f>P110&lt;&gt;0</f>
        <v>0</v>
      </c>
    </row>
    <row r="111" spans="2:18" ht="18" thickBot="1" x14ac:dyDescent="0.45">
      <c r="B111" s="33" t="s">
        <v>425</v>
      </c>
      <c r="C111" s="34" t="s">
        <v>426</v>
      </c>
      <c r="D111" s="35">
        <v>1958501226</v>
      </c>
      <c r="E111" s="4" t="str">
        <f>LEFT(D111,3)</f>
        <v>195</v>
      </c>
      <c r="F111" s="4" t="str">
        <f>MID(D111,4,2)</f>
        <v>85</v>
      </c>
      <c r="G111" s="4" t="str">
        <f>RIGHT(D111,5)</f>
        <v>01226</v>
      </c>
      <c r="H111" s="13">
        <f>IFERROR(VLOOKUP($B111,'SAP 금액'!$A:$C,2,0),0)</f>
        <v>0</v>
      </c>
      <c r="I111" s="13">
        <f>IFERROR(VLOOKUP($B111,'SAP 금액'!$A:$C,3,0),0)</f>
        <v>0</v>
      </c>
      <c r="J111" s="13">
        <f>IFERROR(VLOOKUP(B111,'SAP 금액'!E:F,2,0),0)</f>
        <v>0</v>
      </c>
      <c r="K111" s="13">
        <f>VLOOKUP($B111,'국세청 금액'!$A:$C,2,0)</f>
        <v>4777180</v>
      </c>
      <c r="L111" s="13">
        <f>VLOOKUP($B111,'국세청 금액'!$A:$C,3,0)</f>
        <v>477717</v>
      </c>
      <c r="M111" s="13">
        <f>VLOOKUP(B111,'국세청 금액'!A:F,6,0)</f>
        <v>0</v>
      </c>
      <c r="N111" s="14">
        <f>K111-H111</f>
        <v>4777180</v>
      </c>
      <c r="O111" s="14">
        <f>L111-I111</f>
        <v>477717</v>
      </c>
      <c r="P111" s="14">
        <f>M111-J111</f>
        <v>0</v>
      </c>
      <c r="Q111" s="4" t="b">
        <f>AND(N111&lt;&gt;0,O111&lt;&gt;0)</f>
        <v>1</v>
      </c>
      <c r="R111" s="4" t="b">
        <f>P111&lt;&gt;0</f>
        <v>0</v>
      </c>
    </row>
    <row r="112" spans="2:18" ht="18" thickBot="1" x14ac:dyDescent="0.45">
      <c r="B112" s="33" t="s">
        <v>427</v>
      </c>
      <c r="C112" s="34" t="s">
        <v>428</v>
      </c>
      <c r="D112" s="35">
        <v>5518501014</v>
      </c>
      <c r="E112" s="4" t="str">
        <f>LEFT(D112,3)</f>
        <v>551</v>
      </c>
      <c r="F112" s="4" t="str">
        <f>MID(D112,4,2)</f>
        <v>85</v>
      </c>
      <c r="G112" s="4" t="str">
        <f>RIGHT(D112,5)</f>
        <v>01014</v>
      </c>
      <c r="H112" s="13">
        <f>IFERROR(VLOOKUP($B112,'SAP 금액'!$A:$C,2,0),0)</f>
        <v>0</v>
      </c>
      <c r="I112" s="13">
        <f>IFERROR(VLOOKUP($B112,'SAP 금액'!$A:$C,3,0),0)</f>
        <v>0</v>
      </c>
      <c r="J112" s="13">
        <f>IFERROR(VLOOKUP(B112,'SAP 금액'!E:F,2,0),0)</f>
        <v>0</v>
      </c>
      <c r="K112" s="13">
        <f>VLOOKUP($B112,'국세청 금액'!$A:$C,2,0)</f>
        <v>401568627</v>
      </c>
      <c r="L112" s="13">
        <f>VLOOKUP($B112,'국세청 금액'!$A:$C,3,0)</f>
        <v>37837919</v>
      </c>
      <c r="M112" s="13">
        <f>VLOOKUP(B112,'국세청 금액'!A:F,6,0)</f>
        <v>227951070</v>
      </c>
      <c r="N112" s="14">
        <f>K112-H112</f>
        <v>401568627</v>
      </c>
      <c r="O112" s="14">
        <f>L112-I112</f>
        <v>37837919</v>
      </c>
      <c r="P112" s="14">
        <f>M112-J112</f>
        <v>227951070</v>
      </c>
      <c r="Q112" s="4" t="b">
        <f>AND(N112&lt;&gt;0,O112&lt;&gt;0)</f>
        <v>1</v>
      </c>
      <c r="R112" s="4" t="b">
        <f>P112&lt;&gt;0</f>
        <v>1</v>
      </c>
    </row>
    <row r="113" spans="2:18" ht="18" thickBot="1" x14ac:dyDescent="0.45">
      <c r="B113" s="33" t="s">
        <v>429</v>
      </c>
      <c r="C113" s="34" t="s">
        <v>430</v>
      </c>
      <c r="D113" s="35">
        <v>6338501335</v>
      </c>
      <c r="E113" s="4" t="str">
        <f>LEFT(D113,3)</f>
        <v>633</v>
      </c>
      <c r="F113" s="4" t="str">
        <f>MID(D113,4,2)</f>
        <v>85</v>
      </c>
      <c r="G113" s="4" t="str">
        <f>RIGHT(D113,5)</f>
        <v>01335</v>
      </c>
      <c r="H113" s="13">
        <f>IFERROR(VLOOKUP($B113,'SAP 금액'!$A:$C,2,0),0)</f>
        <v>0</v>
      </c>
      <c r="I113" s="13">
        <f>IFERROR(VLOOKUP($B113,'SAP 금액'!$A:$C,3,0),0)</f>
        <v>0</v>
      </c>
      <c r="J113" s="13">
        <f>IFERROR(VLOOKUP(B113,'SAP 금액'!E:F,2,0),0)</f>
        <v>0</v>
      </c>
      <c r="K113" s="13">
        <f>VLOOKUP($B113,'국세청 금액'!$A:$C,2,0)</f>
        <v>66695206</v>
      </c>
      <c r="L113" s="13">
        <f>VLOOKUP($B113,'국세청 금액'!$A:$C,3,0)</f>
        <v>6669520</v>
      </c>
      <c r="M113" s="13">
        <f>VLOOKUP(B113,'국세청 금액'!A:F,6,0)</f>
        <v>3065000</v>
      </c>
      <c r="N113" s="14">
        <f>K113-H113</f>
        <v>66695206</v>
      </c>
      <c r="O113" s="14">
        <f>L113-I113</f>
        <v>6669520</v>
      </c>
      <c r="P113" s="14">
        <f>M113-J113</f>
        <v>3065000</v>
      </c>
      <c r="Q113" s="4" t="b">
        <f>AND(N113&lt;&gt;0,O113&lt;&gt;0)</f>
        <v>1</v>
      </c>
      <c r="R113" s="4" t="b">
        <f>P113&lt;&gt;0</f>
        <v>1</v>
      </c>
    </row>
    <row r="114" spans="2:18" ht="18" thickBot="1" x14ac:dyDescent="0.45">
      <c r="B114" s="36" t="s">
        <v>431</v>
      </c>
      <c r="C114" s="37" t="s">
        <v>432</v>
      </c>
      <c r="D114" s="38">
        <v>5478501204</v>
      </c>
      <c r="E114" s="4" t="str">
        <f>LEFT(D114,3)</f>
        <v>547</v>
      </c>
      <c r="F114" s="4" t="str">
        <f>MID(D114,4,2)</f>
        <v>85</v>
      </c>
      <c r="G114" s="4" t="str">
        <f>RIGHT(D114,5)</f>
        <v>01204</v>
      </c>
      <c r="H114" s="13">
        <f>IFERROR(VLOOKUP($B114,'SAP 금액'!$A:$C,2,0),0)</f>
        <v>0</v>
      </c>
      <c r="I114" s="13">
        <f>IFERROR(VLOOKUP($B114,'SAP 금액'!$A:$C,3,0),0)</f>
        <v>0</v>
      </c>
      <c r="J114" s="13">
        <f>IFERROR(VLOOKUP(B114,'SAP 금액'!E:F,2,0),0)</f>
        <v>0</v>
      </c>
      <c r="K114" s="13">
        <f>VLOOKUP($B114,'국세청 금액'!$A:$C,2,0)</f>
        <v>32227611</v>
      </c>
      <c r="L114" s="13">
        <f>VLOOKUP($B114,'국세청 금액'!$A:$C,3,0)</f>
        <v>3222757</v>
      </c>
      <c r="M114" s="13">
        <f>VLOOKUP(B114,'국세청 금액'!A:F,6,0)</f>
        <v>6851061</v>
      </c>
      <c r="N114" s="14">
        <f>K114-H114</f>
        <v>32227611</v>
      </c>
      <c r="O114" s="14">
        <f>L114-I114</f>
        <v>3222757</v>
      </c>
      <c r="P114" s="14">
        <f>M114-J114</f>
        <v>6851061</v>
      </c>
      <c r="Q114" s="4" t="b">
        <f>AND(N114&lt;&gt;0,O114&lt;&gt;0)</f>
        <v>1</v>
      </c>
      <c r="R114" s="4" t="b">
        <f>P114&lt;&gt;0</f>
        <v>1</v>
      </c>
    </row>
    <row r="115" spans="2:18" ht="18" thickBot="1" x14ac:dyDescent="0.45">
      <c r="B115" s="36" t="s">
        <v>433</v>
      </c>
      <c r="C115" s="37" t="s">
        <v>434</v>
      </c>
      <c r="D115" s="38">
        <v>5848500956</v>
      </c>
      <c r="E115" s="4" t="str">
        <f>LEFT(D115,3)</f>
        <v>584</v>
      </c>
      <c r="F115" s="4" t="str">
        <f>MID(D115,4,2)</f>
        <v>85</v>
      </c>
      <c r="G115" s="4" t="str">
        <f>RIGHT(D115,5)</f>
        <v>00956</v>
      </c>
      <c r="H115" s="13">
        <f>IFERROR(VLOOKUP($B115,'SAP 금액'!$A:$C,2,0),0)</f>
        <v>0</v>
      </c>
      <c r="I115" s="13">
        <f>IFERROR(VLOOKUP($B115,'SAP 금액'!$A:$C,3,0),0)</f>
        <v>0</v>
      </c>
      <c r="J115" s="13">
        <f>IFERROR(VLOOKUP(B115,'SAP 금액'!E:F,2,0),0)</f>
        <v>0</v>
      </c>
      <c r="K115" s="13">
        <f>VLOOKUP($B115,'국세청 금액'!$A:$C,2,0)</f>
        <v>16832403</v>
      </c>
      <c r="L115" s="13">
        <f>VLOOKUP($B115,'국세청 금액'!$A:$C,3,0)</f>
        <v>1683239</v>
      </c>
      <c r="M115" s="13">
        <f>VLOOKUP(B115,'국세청 금액'!A:F,6,0)</f>
        <v>0</v>
      </c>
      <c r="N115" s="14">
        <f>K115-H115</f>
        <v>16832403</v>
      </c>
      <c r="O115" s="14">
        <f>L115-I115</f>
        <v>1683239</v>
      </c>
      <c r="P115" s="14">
        <f>M115-J115</f>
        <v>0</v>
      </c>
      <c r="Q115" s="4" t="b">
        <f>AND(N115&lt;&gt;0,O115&lt;&gt;0)</f>
        <v>1</v>
      </c>
      <c r="R115" s="4" t="b">
        <f>P115&lt;&gt;0</f>
        <v>0</v>
      </c>
    </row>
    <row r="116" spans="2:18" ht="18" thickBot="1" x14ac:dyDescent="0.45">
      <c r="B116" s="36" t="s">
        <v>435</v>
      </c>
      <c r="C116" s="37" t="s">
        <v>436</v>
      </c>
      <c r="D116" s="38">
        <v>5198501271</v>
      </c>
      <c r="E116" s="4" t="str">
        <f>LEFT(D116,3)</f>
        <v>519</v>
      </c>
      <c r="F116" s="4" t="str">
        <f>MID(D116,4,2)</f>
        <v>85</v>
      </c>
      <c r="G116" s="4" t="str">
        <f>RIGHT(D116,5)</f>
        <v>01271</v>
      </c>
      <c r="H116" s="13">
        <f>IFERROR(VLOOKUP($B116,'SAP 금액'!$A:$C,2,0),0)</f>
        <v>0</v>
      </c>
      <c r="I116" s="13">
        <f>IFERROR(VLOOKUP($B116,'SAP 금액'!$A:$C,3,0),0)</f>
        <v>0</v>
      </c>
      <c r="J116" s="13">
        <f>IFERROR(VLOOKUP(B116,'SAP 금액'!E:F,2,0),0)</f>
        <v>0</v>
      </c>
      <c r="K116" s="13">
        <f>VLOOKUP($B116,'국세청 금액'!$A:$C,2,0)</f>
        <v>298131083</v>
      </c>
      <c r="L116" s="13">
        <f>VLOOKUP($B116,'국세청 금액'!$A:$C,3,0)</f>
        <v>29813035</v>
      </c>
      <c r="M116" s="13">
        <f>VLOOKUP(B116,'국세청 금액'!A:F,6,0)</f>
        <v>0</v>
      </c>
      <c r="N116" s="14">
        <f>K116-H116</f>
        <v>298131083</v>
      </c>
      <c r="O116" s="14">
        <f>L116-I116</f>
        <v>29813035</v>
      </c>
      <c r="P116" s="14">
        <f>M116-J116</f>
        <v>0</v>
      </c>
      <c r="Q116" s="4" t="b">
        <f>AND(N116&lt;&gt;0,O116&lt;&gt;0)</f>
        <v>1</v>
      </c>
      <c r="R116" s="4" t="b">
        <f>P116&lt;&gt;0</f>
        <v>0</v>
      </c>
    </row>
    <row r="117" spans="2:18" ht="18" thickBot="1" x14ac:dyDescent="0.45">
      <c r="B117" s="36" t="s">
        <v>437</v>
      </c>
      <c r="C117" s="37" t="s">
        <v>438</v>
      </c>
      <c r="D117" s="38">
        <v>5138535190</v>
      </c>
      <c r="E117" s="4" t="str">
        <f>LEFT(D117,3)</f>
        <v>513</v>
      </c>
      <c r="F117" s="4" t="str">
        <f>MID(D117,4,2)</f>
        <v>85</v>
      </c>
      <c r="G117" s="4" t="str">
        <f>RIGHT(D117,5)</f>
        <v>35190</v>
      </c>
      <c r="H117" s="13">
        <f>IFERROR(VLOOKUP($B117,'SAP 금액'!$A:$C,2,0),0)</f>
        <v>0</v>
      </c>
      <c r="I117" s="13">
        <f>IFERROR(VLOOKUP($B117,'SAP 금액'!$A:$C,3,0),0)</f>
        <v>0</v>
      </c>
      <c r="J117" s="13">
        <f>IFERROR(VLOOKUP(B117,'SAP 금액'!E:F,2,0),0)</f>
        <v>0</v>
      </c>
      <c r="K117" s="13">
        <f>VLOOKUP($B117,'국세청 금액'!$A:$C,2,0)</f>
        <v>0</v>
      </c>
      <c r="L117" s="13">
        <f>VLOOKUP($B117,'국세청 금액'!$A:$C,3,0)</f>
        <v>0</v>
      </c>
      <c r="M117" s="13">
        <f>VLOOKUP(B117,'국세청 금액'!A:F,6,0)</f>
        <v>0</v>
      </c>
      <c r="N117" s="14">
        <f>K117-H117</f>
        <v>0</v>
      </c>
      <c r="O117" s="14">
        <f>L117-I117</f>
        <v>0</v>
      </c>
      <c r="P117" s="14">
        <f>M117-J117</f>
        <v>0</v>
      </c>
      <c r="Q117" s="4" t="b">
        <f>AND(N117&lt;&gt;0,O117&lt;&gt;0)</f>
        <v>0</v>
      </c>
      <c r="R117" s="4" t="b">
        <f>P117&lt;&gt;0</f>
        <v>0</v>
      </c>
    </row>
    <row r="118" spans="2:18" ht="18" thickBot="1" x14ac:dyDescent="0.45">
      <c r="B118" s="36" t="s">
        <v>439</v>
      </c>
      <c r="C118" s="37" t="s">
        <v>440</v>
      </c>
      <c r="D118" s="38">
        <v>6798501059</v>
      </c>
      <c r="E118" s="4" t="str">
        <f>LEFT(D118,3)</f>
        <v>679</v>
      </c>
      <c r="F118" s="4" t="str">
        <f>MID(D118,4,2)</f>
        <v>85</v>
      </c>
      <c r="G118" s="4" t="str">
        <f>RIGHT(D118,5)</f>
        <v>01059</v>
      </c>
      <c r="H118" s="13">
        <f>IFERROR(VLOOKUP($B118,'SAP 금액'!$A:$C,2,0),0)</f>
        <v>0</v>
      </c>
      <c r="I118" s="13">
        <f>IFERROR(VLOOKUP($B118,'SAP 금액'!$A:$C,3,0),0)</f>
        <v>0</v>
      </c>
      <c r="J118" s="13">
        <f>IFERROR(VLOOKUP(B118,'SAP 금액'!E:F,2,0),0)</f>
        <v>0</v>
      </c>
      <c r="K118" s="13">
        <f>VLOOKUP($B118,'국세청 금액'!$A:$C,2,0)</f>
        <v>192453114</v>
      </c>
      <c r="L118" s="13">
        <f>VLOOKUP($B118,'국세청 금액'!$A:$C,3,0)</f>
        <v>19245116</v>
      </c>
      <c r="M118" s="13">
        <f>VLOOKUP(B118,'국세청 금액'!A:F,6,0)</f>
        <v>6718766</v>
      </c>
      <c r="N118" s="14">
        <f>K118-H118</f>
        <v>192453114</v>
      </c>
      <c r="O118" s="14">
        <f>L118-I118</f>
        <v>19245116</v>
      </c>
      <c r="P118" s="14">
        <f>M118-J118</f>
        <v>6718766</v>
      </c>
      <c r="Q118" s="4" t="b">
        <f>AND(N118&lt;&gt;0,O118&lt;&gt;0)</f>
        <v>1</v>
      </c>
      <c r="R118" s="4" t="b">
        <f>P118&lt;&gt;0</f>
        <v>1</v>
      </c>
    </row>
    <row r="119" spans="2:18" ht="18" thickBot="1" x14ac:dyDescent="0.45">
      <c r="B119" s="33" t="s">
        <v>441</v>
      </c>
      <c r="C119" s="34" t="s">
        <v>442</v>
      </c>
      <c r="D119" s="35">
        <v>3858501116</v>
      </c>
      <c r="E119" s="4" t="str">
        <f>LEFT(D119,3)</f>
        <v>385</v>
      </c>
      <c r="F119" s="4" t="str">
        <f>MID(D119,4,2)</f>
        <v>85</v>
      </c>
      <c r="G119" s="4" t="str">
        <f>RIGHT(D119,5)</f>
        <v>01116</v>
      </c>
      <c r="H119" s="13">
        <f>IFERROR(VLOOKUP($B119,'SAP 금액'!$A:$C,2,0),0)</f>
        <v>0</v>
      </c>
      <c r="I119" s="13">
        <f>IFERROR(VLOOKUP($B119,'SAP 금액'!$A:$C,3,0),0)</f>
        <v>0</v>
      </c>
      <c r="J119" s="13">
        <f>IFERROR(VLOOKUP(B119,'SAP 금액'!E:F,2,0),0)</f>
        <v>0</v>
      </c>
      <c r="K119" s="13">
        <f>VLOOKUP($B119,'국세청 금액'!$A:$C,2,0)</f>
        <v>161854788</v>
      </c>
      <c r="L119" s="13">
        <f>VLOOKUP($B119,'국세청 금액'!$A:$C,3,0)</f>
        <v>16185256</v>
      </c>
      <c r="M119" s="13">
        <f>VLOOKUP(B119,'국세청 금액'!A:F,6,0)</f>
        <v>7669484</v>
      </c>
      <c r="N119" s="14">
        <f>K119-H119</f>
        <v>161854788</v>
      </c>
      <c r="O119" s="14">
        <f>L119-I119</f>
        <v>16185256</v>
      </c>
      <c r="P119" s="14">
        <f>M119-J119</f>
        <v>7669484</v>
      </c>
      <c r="Q119" s="4" t="b">
        <f>AND(N119&lt;&gt;0,O119&lt;&gt;0)</f>
        <v>1</v>
      </c>
      <c r="R119" s="4" t="b">
        <f>P119&lt;&gt;0</f>
        <v>1</v>
      </c>
    </row>
    <row r="120" spans="2:18" ht="18" thickBot="1" x14ac:dyDescent="0.45">
      <c r="B120" s="33" t="s">
        <v>443</v>
      </c>
      <c r="C120" s="34" t="s">
        <v>444</v>
      </c>
      <c r="D120" s="35">
        <v>6878501007</v>
      </c>
      <c r="E120" s="4" t="str">
        <f>LEFT(D120,3)</f>
        <v>687</v>
      </c>
      <c r="F120" s="4" t="str">
        <f>MID(D120,4,2)</f>
        <v>85</v>
      </c>
      <c r="G120" s="4" t="str">
        <f>RIGHT(D120,5)</f>
        <v>01007</v>
      </c>
      <c r="H120" s="13">
        <f>IFERROR(VLOOKUP($B120,'SAP 금액'!$A:$C,2,0),0)</f>
        <v>0</v>
      </c>
      <c r="I120" s="13">
        <f>IFERROR(VLOOKUP($B120,'SAP 금액'!$A:$C,3,0),0)</f>
        <v>0</v>
      </c>
      <c r="J120" s="13">
        <f>IFERROR(VLOOKUP(B120,'SAP 금액'!E:F,2,0),0)</f>
        <v>0</v>
      </c>
      <c r="K120" s="13">
        <f>VLOOKUP($B120,'국세청 금액'!$A:$C,2,0)</f>
        <v>100041333</v>
      </c>
      <c r="L120" s="13">
        <f>VLOOKUP($B120,'국세청 금액'!$A:$C,3,0)</f>
        <v>10004135</v>
      </c>
      <c r="M120" s="13">
        <f>VLOOKUP(B120,'국세청 금액'!A:F,6,0)</f>
        <v>0</v>
      </c>
      <c r="N120" s="14">
        <f>K120-H120</f>
        <v>100041333</v>
      </c>
      <c r="O120" s="14">
        <f>L120-I120</f>
        <v>10004135</v>
      </c>
      <c r="P120" s="14">
        <f>M120-J120</f>
        <v>0</v>
      </c>
      <c r="Q120" s="4" t="b">
        <f>AND(N120&lt;&gt;0,O120&lt;&gt;0)</f>
        <v>1</v>
      </c>
      <c r="R120" s="4" t="b">
        <f>P120&lt;&gt;0</f>
        <v>0</v>
      </c>
    </row>
    <row r="121" spans="2:18" ht="18" thickBot="1" x14ac:dyDescent="0.45">
      <c r="B121" s="33" t="s">
        <v>445</v>
      </c>
      <c r="C121" s="34" t="s">
        <v>446</v>
      </c>
      <c r="D121" s="35">
        <v>6598500963</v>
      </c>
      <c r="E121" s="4" t="str">
        <f>LEFT(D121,3)</f>
        <v>659</v>
      </c>
      <c r="F121" s="4" t="str">
        <f>MID(D121,4,2)</f>
        <v>85</v>
      </c>
      <c r="G121" s="4" t="str">
        <f>RIGHT(D121,5)</f>
        <v>00963</v>
      </c>
      <c r="H121" s="13">
        <f>IFERROR(VLOOKUP($B121,'SAP 금액'!$A:$C,2,0),0)</f>
        <v>0</v>
      </c>
      <c r="I121" s="13">
        <f>IFERROR(VLOOKUP($B121,'SAP 금액'!$A:$C,3,0),0)</f>
        <v>0</v>
      </c>
      <c r="J121" s="13">
        <f>IFERROR(VLOOKUP(B121,'SAP 금액'!E:F,2,0),0)</f>
        <v>0</v>
      </c>
      <c r="K121" s="13">
        <f>VLOOKUP($B121,'국세청 금액'!$A:$C,2,0)</f>
        <v>41394574</v>
      </c>
      <c r="L121" s="13">
        <f>VLOOKUP($B121,'국세청 금액'!$A:$C,3,0)</f>
        <v>4139456</v>
      </c>
      <c r="M121" s="13">
        <f>VLOOKUP(B121,'국세청 금액'!A:F,6,0)</f>
        <v>408000</v>
      </c>
      <c r="N121" s="14">
        <f>K121-H121</f>
        <v>41394574</v>
      </c>
      <c r="O121" s="14">
        <f>L121-I121</f>
        <v>4139456</v>
      </c>
      <c r="P121" s="14">
        <f>M121-J121</f>
        <v>408000</v>
      </c>
      <c r="Q121" s="4" t="b">
        <f>AND(N121&lt;&gt;0,O121&lt;&gt;0)</f>
        <v>1</v>
      </c>
      <c r="R121" s="4" t="b">
        <f>P121&lt;&gt;0</f>
        <v>1</v>
      </c>
    </row>
    <row r="122" spans="2:18" ht="18" thickBot="1" x14ac:dyDescent="0.45">
      <c r="B122" s="33" t="s">
        <v>447</v>
      </c>
      <c r="C122" s="34" t="s">
        <v>448</v>
      </c>
      <c r="D122" s="35">
        <v>8358501004</v>
      </c>
      <c r="E122" s="4" t="str">
        <f>LEFT(D122,3)</f>
        <v>835</v>
      </c>
      <c r="F122" s="4" t="str">
        <f>MID(D122,4,2)</f>
        <v>85</v>
      </c>
      <c r="G122" s="4" t="str">
        <f>RIGHT(D122,5)</f>
        <v>01004</v>
      </c>
      <c r="H122" s="13">
        <f>IFERROR(VLOOKUP($B122,'SAP 금액'!$A:$C,2,0),0)</f>
        <v>0</v>
      </c>
      <c r="I122" s="13">
        <f>IFERROR(VLOOKUP($B122,'SAP 금액'!$A:$C,3,0),0)</f>
        <v>0</v>
      </c>
      <c r="J122" s="13">
        <f>IFERROR(VLOOKUP(B122,'SAP 금액'!E:F,2,0),0)</f>
        <v>0</v>
      </c>
      <c r="K122" s="13">
        <f>VLOOKUP($B122,'국세청 금액'!$A:$C,2,0)</f>
        <v>52452160</v>
      </c>
      <c r="L122" s="13">
        <f>VLOOKUP($B122,'국세청 금액'!$A:$C,3,0)</f>
        <v>5245210</v>
      </c>
      <c r="M122" s="13">
        <f>VLOOKUP(B122,'국세청 금액'!A:F,6,0)</f>
        <v>846000</v>
      </c>
      <c r="N122" s="14">
        <f>K122-H122</f>
        <v>52452160</v>
      </c>
      <c r="O122" s="14">
        <f>L122-I122</f>
        <v>5245210</v>
      </c>
      <c r="P122" s="14">
        <f>M122-J122</f>
        <v>846000</v>
      </c>
      <c r="Q122" s="4" t="b">
        <f>AND(N122&lt;&gt;0,O122&lt;&gt;0)</f>
        <v>1</v>
      </c>
      <c r="R122" s="4" t="b">
        <f>P122&lt;&gt;0</f>
        <v>1</v>
      </c>
    </row>
    <row r="123" spans="2:18" ht="18" thickBot="1" x14ac:dyDescent="0.45">
      <c r="B123" s="33" t="s">
        <v>449</v>
      </c>
      <c r="C123" s="34" t="s">
        <v>450</v>
      </c>
      <c r="D123" s="35">
        <v>3278501110</v>
      </c>
      <c r="E123" s="4" t="str">
        <f>LEFT(D123,3)</f>
        <v>327</v>
      </c>
      <c r="F123" s="4" t="str">
        <f>MID(D123,4,2)</f>
        <v>85</v>
      </c>
      <c r="G123" s="4" t="str">
        <f>RIGHT(D123,5)</f>
        <v>01110</v>
      </c>
      <c r="H123" s="13">
        <f>IFERROR(VLOOKUP($B123,'SAP 금액'!$A:$C,2,0),0)</f>
        <v>0</v>
      </c>
      <c r="I123" s="13">
        <f>IFERROR(VLOOKUP($B123,'SAP 금액'!$A:$C,3,0),0)</f>
        <v>0</v>
      </c>
      <c r="J123" s="13">
        <f>IFERROR(VLOOKUP(B123,'SAP 금액'!E:F,2,0),0)</f>
        <v>0</v>
      </c>
      <c r="K123" s="13">
        <f>VLOOKUP($B123,'국세청 금액'!$A:$C,2,0)</f>
        <v>22398451</v>
      </c>
      <c r="L123" s="13">
        <f>VLOOKUP($B123,'국세청 금액'!$A:$C,3,0)</f>
        <v>2239849</v>
      </c>
      <c r="M123" s="13">
        <f>VLOOKUP(B123,'국세청 금액'!A:F,6,0)</f>
        <v>0</v>
      </c>
      <c r="N123" s="14">
        <f>K123-H123</f>
        <v>22398451</v>
      </c>
      <c r="O123" s="14">
        <f>L123-I123</f>
        <v>2239849</v>
      </c>
      <c r="P123" s="14">
        <f>M123-J123</f>
        <v>0</v>
      </c>
      <c r="Q123" s="4" t="b">
        <f>AND(N123&lt;&gt;0,O123&lt;&gt;0)</f>
        <v>1</v>
      </c>
      <c r="R123" s="4" t="b">
        <f>P123&lt;&gt;0</f>
        <v>0</v>
      </c>
    </row>
    <row r="124" spans="2:18" ht="18" thickBot="1" x14ac:dyDescent="0.45">
      <c r="B124" s="33" t="s">
        <v>451</v>
      </c>
      <c r="C124" s="34" t="s">
        <v>452</v>
      </c>
      <c r="D124" s="35">
        <v>4318501006</v>
      </c>
      <c r="E124" s="4" t="str">
        <f>LEFT(D124,3)</f>
        <v>431</v>
      </c>
      <c r="F124" s="4" t="str">
        <f>MID(D124,4,2)</f>
        <v>85</v>
      </c>
      <c r="G124" s="4" t="str">
        <f>RIGHT(D124,5)</f>
        <v>01006</v>
      </c>
      <c r="H124" s="13">
        <f>IFERROR(VLOOKUP($B124,'SAP 금액'!$A:$C,2,0),0)</f>
        <v>0</v>
      </c>
      <c r="I124" s="13">
        <f>IFERROR(VLOOKUP($B124,'SAP 금액'!$A:$C,3,0),0)</f>
        <v>0</v>
      </c>
      <c r="J124" s="13">
        <f>IFERROR(VLOOKUP(B124,'SAP 금액'!E:F,2,0),0)</f>
        <v>0</v>
      </c>
      <c r="K124" s="13">
        <f>VLOOKUP($B124,'국세청 금액'!$A:$C,2,0)</f>
        <v>86715656</v>
      </c>
      <c r="L124" s="13">
        <f>VLOOKUP($B124,'국세청 금액'!$A:$C,3,0)</f>
        <v>8671560</v>
      </c>
      <c r="M124" s="13">
        <f>VLOOKUP(B124,'국세청 금액'!A:F,6,0)</f>
        <v>750000</v>
      </c>
      <c r="N124" s="14">
        <f>K124-H124</f>
        <v>86715656</v>
      </c>
      <c r="O124" s="14">
        <f>L124-I124</f>
        <v>8671560</v>
      </c>
      <c r="P124" s="14">
        <f>M124-J124</f>
        <v>750000</v>
      </c>
      <c r="Q124" s="4" t="b">
        <f>AND(N124&lt;&gt;0,O124&lt;&gt;0)</f>
        <v>1</v>
      </c>
      <c r="R124" s="4" t="b">
        <f>P124&lt;&gt;0</f>
        <v>1</v>
      </c>
    </row>
    <row r="125" spans="2:18" ht="18" thickBot="1" x14ac:dyDescent="0.45">
      <c r="B125" s="33" t="s">
        <v>453</v>
      </c>
      <c r="C125" s="34" t="s">
        <v>454</v>
      </c>
      <c r="D125" s="35">
        <v>8048501107</v>
      </c>
      <c r="E125" s="4" t="str">
        <f>LEFT(D125,3)</f>
        <v>804</v>
      </c>
      <c r="F125" s="4" t="str">
        <f>MID(D125,4,2)</f>
        <v>85</v>
      </c>
      <c r="G125" s="4" t="str">
        <f>RIGHT(D125,5)</f>
        <v>01107</v>
      </c>
      <c r="H125" s="13">
        <f>IFERROR(VLOOKUP($B125,'SAP 금액'!$A:$C,2,0),0)</f>
        <v>0</v>
      </c>
      <c r="I125" s="13">
        <f>IFERROR(VLOOKUP($B125,'SAP 금액'!$A:$C,3,0),0)</f>
        <v>0</v>
      </c>
      <c r="J125" s="13">
        <f>IFERROR(VLOOKUP(B125,'SAP 금액'!E:F,2,0),0)</f>
        <v>0</v>
      </c>
      <c r="K125" s="13">
        <f>VLOOKUP($B125,'국세청 금액'!$A:$C,2,0)</f>
        <v>15563530</v>
      </c>
      <c r="L125" s="13">
        <f>VLOOKUP($B125,'국세청 금액'!$A:$C,3,0)</f>
        <v>1556280</v>
      </c>
      <c r="M125" s="13">
        <f>VLOOKUP(B125,'국세청 금액'!A:F,6,0)</f>
        <v>0</v>
      </c>
      <c r="N125" s="14">
        <f>K125-H125</f>
        <v>15563530</v>
      </c>
      <c r="O125" s="14">
        <f>L125-I125</f>
        <v>1556280</v>
      </c>
      <c r="P125" s="14">
        <f>M125-J125</f>
        <v>0</v>
      </c>
      <c r="Q125" s="4" t="b">
        <f>AND(N125&lt;&gt;0,O125&lt;&gt;0)</f>
        <v>1</v>
      </c>
      <c r="R125" s="4" t="b">
        <f>P125&lt;&gt;0</f>
        <v>0</v>
      </c>
    </row>
    <row r="126" spans="2:18" ht="18" thickBot="1" x14ac:dyDescent="0.45">
      <c r="B126" s="33" t="s">
        <v>455</v>
      </c>
      <c r="C126" s="34" t="s">
        <v>456</v>
      </c>
      <c r="D126" s="35">
        <v>4018520638</v>
      </c>
      <c r="E126" s="4" t="str">
        <f>LEFT(D126,3)</f>
        <v>401</v>
      </c>
      <c r="F126" s="4" t="str">
        <f>MID(D126,4,2)</f>
        <v>85</v>
      </c>
      <c r="G126" s="4" t="str">
        <f>RIGHT(D126,5)</f>
        <v>20638</v>
      </c>
      <c r="H126" s="13">
        <f>IFERROR(VLOOKUP($B126,'SAP 금액'!$A:$C,2,0),0)</f>
        <v>0</v>
      </c>
      <c r="I126" s="13">
        <f>IFERROR(VLOOKUP($B126,'SAP 금액'!$A:$C,3,0),0)</f>
        <v>0</v>
      </c>
      <c r="J126" s="13">
        <f>IFERROR(VLOOKUP(B126,'SAP 금액'!E:F,2,0),0)</f>
        <v>0</v>
      </c>
      <c r="K126" s="13">
        <f>VLOOKUP($B126,'국세청 금액'!$A:$C,2,0)</f>
        <v>23047764</v>
      </c>
      <c r="L126" s="13">
        <f>VLOOKUP($B126,'국세청 금액'!$A:$C,3,0)</f>
        <v>2304776</v>
      </c>
      <c r="M126" s="13">
        <f>VLOOKUP(B126,'국세청 금액'!A:F,6,0)</f>
        <v>180000</v>
      </c>
      <c r="N126" s="14">
        <f>K126-H126</f>
        <v>23047764</v>
      </c>
      <c r="O126" s="14">
        <f>L126-I126</f>
        <v>2304776</v>
      </c>
      <c r="P126" s="14">
        <f>M126-J126</f>
        <v>180000</v>
      </c>
      <c r="Q126" s="4" t="b">
        <f>AND(N126&lt;&gt;0,O126&lt;&gt;0)</f>
        <v>1</v>
      </c>
      <c r="R126" s="4" t="b">
        <f>P126&lt;&gt;0</f>
        <v>1</v>
      </c>
    </row>
    <row r="127" spans="2:18" ht="18" thickBot="1" x14ac:dyDescent="0.45">
      <c r="B127" s="33" t="s">
        <v>457</v>
      </c>
      <c r="C127" s="34" t="s">
        <v>458</v>
      </c>
      <c r="D127" s="35">
        <v>3798501052</v>
      </c>
      <c r="E127" s="4" t="str">
        <f>LEFT(D127,3)</f>
        <v>379</v>
      </c>
      <c r="F127" s="4" t="str">
        <f>MID(D127,4,2)</f>
        <v>85</v>
      </c>
      <c r="G127" s="4" t="str">
        <f>RIGHT(D127,5)</f>
        <v>01052</v>
      </c>
      <c r="H127" s="13">
        <f>IFERROR(VLOOKUP($B127,'SAP 금액'!$A:$C,2,0),0)</f>
        <v>0</v>
      </c>
      <c r="I127" s="13">
        <f>IFERROR(VLOOKUP($B127,'SAP 금액'!$A:$C,3,0),0)</f>
        <v>0</v>
      </c>
      <c r="J127" s="13">
        <f>IFERROR(VLOOKUP(B127,'SAP 금액'!E:F,2,0),0)</f>
        <v>0</v>
      </c>
      <c r="K127" s="13">
        <f>VLOOKUP($B127,'국세청 금액'!$A:$C,2,0)</f>
        <v>102147660</v>
      </c>
      <c r="L127" s="13">
        <f>VLOOKUP($B127,'국세청 금액'!$A:$C,3,0)</f>
        <v>10214637</v>
      </c>
      <c r="M127" s="13">
        <f>VLOOKUP(B127,'국세청 금액'!A:F,6,0)</f>
        <v>0</v>
      </c>
      <c r="N127" s="14">
        <f>K127-H127</f>
        <v>102147660</v>
      </c>
      <c r="O127" s="14">
        <f>L127-I127</f>
        <v>10214637</v>
      </c>
      <c r="P127" s="14">
        <f>M127-J127</f>
        <v>0</v>
      </c>
      <c r="Q127" s="4" t="b">
        <f>AND(N127&lt;&gt;0,O127&lt;&gt;0)</f>
        <v>1</v>
      </c>
      <c r="R127" s="4" t="b">
        <f>P127&lt;&gt;0</f>
        <v>0</v>
      </c>
    </row>
    <row r="128" spans="2:18" ht="18" thickBot="1" x14ac:dyDescent="0.45">
      <c r="B128" s="36" t="s">
        <v>459</v>
      </c>
      <c r="C128" s="37" t="s">
        <v>460</v>
      </c>
      <c r="D128" s="38">
        <v>5608501172</v>
      </c>
      <c r="E128" s="4" t="str">
        <f>LEFT(D128,3)</f>
        <v>560</v>
      </c>
      <c r="F128" s="4" t="str">
        <f>MID(D128,4,2)</f>
        <v>85</v>
      </c>
      <c r="G128" s="4" t="str">
        <f>RIGHT(D128,5)</f>
        <v>01172</v>
      </c>
      <c r="H128" s="13">
        <f>IFERROR(VLOOKUP($B128,'SAP 금액'!$A:$C,2,0),0)</f>
        <v>0</v>
      </c>
      <c r="I128" s="13">
        <f>IFERROR(VLOOKUP($B128,'SAP 금액'!$A:$C,3,0),0)</f>
        <v>0</v>
      </c>
      <c r="J128" s="13">
        <f>IFERROR(VLOOKUP(B128,'SAP 금액'!E:F,2,0),0)</f>
        <v>0</v>
      </c>
      <c r="K128" s="13">
        <f>VLOOKUP($B128,'국세청 금액'!$A:$C,2,0)</f>
        <v>59500176</v>
      </c>
      <c r="L128" s="13">
        <f>VLOOKUP($B128,'국세청 금액'!$A:$C,3,0)</f>
        <v>5949597</v>
      </c>
      <c r="M128" s="13">
        <f>VLOOKUP(B128,'국세청 금액'!A:F,6,0)</f>
        <v>3316444</v>
      </c>
      <c r="N128" s="14">
        <f>K128-H128</f>
        <v>59500176</v>
      </c>
      <c r="O128" s="14">
        <f>L128-I128</f>
        <v>5949597</v>
      </c>
      <c r="P128" s="14">
        <f>M128-J128</f>
        <v>3316444</v>
      </c>
      <c r="Q128" s="4" t="b">
        <f>AND(N128&lt;&gt;0,O128&lt;&gt;0)</f>
        <v>1</v>
      </c>
      <c r="R128" s="4" t="b">
        <f>P128&lt;&gt;0</f>
        <v>1</v>
      </c>
    </row>
    <row r="129" spans="2:18" ht="18" thickBot="1" x14ac:dyDescent="0.45">
      <c r="B129" s="36" t="s">
        <v>461</v>
      </c>
      <c r="C129" s="37" t="s">
        <v>462</v>
      </c>
      <c r="D129" s="38">
        <v>7088501226</v>
      </c>
      <c r="E129" s="4" t="str">
        <f>LEFT(D129,3)</f>
        <v>708</v>
      </c>
      <c r="F129" s="4" t="str">
        <f>MID(D129,4,2)</f>
        <v>85</v>
      </c>
      <c r="G129" s="4" t="str">
        <f>RIGHT(D129,5)</f>
        <v>01226</v>
      </c>
      <c r="H129" s="13">
        <f>IFERROR(VLOOKUP($B129,'SAP 금액'!$A:$C,2,0),0)</f>
        <v>0</v>
      </c>
      <c r="I129" s="13">
        <f>IFERROR(VLOOKUP($B129,'SAP 금액'!$A:$C,3,0),0)</f>
        <v>0</v>
      </c>
      <c r="J129" s="13">
        <f>IFERROR(VLOOKUP(B129,'SAP 금액'!E:F,2,0),0)</f>
        <v>0</v>
      </c>
      <c r="K129" s="13">
        <f>VLOOKUP($B129,'국세청 금액'!$A:$C,2,0)</f>
        <v>44449210</v>
      </c>
      <c r="L129" s="13">
        <f>VLOOKUP($B129,'국세청 금액'!$A:$C,3,0)</f>
        <v>4444917</v>
      </c>
      <c r="M129" s="13">
        <f>VLOOKUP(B129,'국세청 금액'!A:F,6,0)</f>
        <v>733265</v>
      </c>
      <c r="N129" s="14">
        <f>K129-H129</f>
        <v>44449210</v>
      </c>
      <c r="O129" s="14">
        <f>L129-I129</f>
        <v>4444917</v>
      </c>
      <c r="P129" s="14">
        <f>M129-J129</f>
        <v>733265</v>
      </c>
      <c r="Q129" s="4" t="b">
        <f>AND(N129&lt;&gt;0,O129&lt;&gt;0)</f>
        <v>1</v>
      </c>
      <c r="R129" s="4" t="b">
        <f>P129&lt;&gt;0</f>
        <v>1</v>
      </c>
    </row>
    <row r="130" spans="2:18" ht="18" thickBot="1" x14ac:dyDescent="0.45">
      <c r="B130" s="36" t="s">
        <v>463</v>
      </c>
      <c r="C130" s="37" t="s">
        <v>464</v>
      </c>
      <c r="D130" s="38">
        <v>8718501112</v>
      </c>
      <c r="E130" s="4" t="str">
        <f>LEFT(D130,3)</f>
        <v>871</v>
      </c>
      <c r="F130" s="4" t="str">
        <f>MID(D130,4,2)</f>
        <v>85</v>
      </c>
      <c r="G130" s="4" t="str">
        <f>RIGHT(D130,5)</f>
        <v>01112</v>
      </c>
      <c r="H130" s="13">
        <f>IFERROR(VLOOKUP($B130,'SAP 금액'!$A:$C,2,0),0)</f>
        <v>0</v>
      </c>
      <c r="I130" s="13">
        <f>IFERROR(VLOOKUP($B130,'SAP 금액'!$A:$C,3,0),0)</f>
        <v>0</v>
      </c>
      <c r="J130" s="13">
        <f>IFERROR(VLOOKUP(B130,'SAP 금액'!E:F,2,0),0)</f>
        <v>0</v>
      </c>
      <c r="K130" s="13">
        <f>VLOOKUP($B130,'국세청 금액'!$A:$C,2,0)</f>
        <v>73909273</v>
      </c>
      <c r="L130" s="13">
        <f>VLOOKUP($B130,'국세청 금액'!$A:$C,3,0)</f>
        <v>7390913</v>
      </c>
      <c r="M130" s="13">
        <f>VLOOKUP(B130,'국세청 금액'!A:F,6,0)</f>
        <v>0</v>
      </c>
      <c r="N130" s="14">
        <f>K130-H130</f>
        <v>73909273</v>
      </c>
      <c r="O130" s="14">
        <f>L130-I130</f>
        <v>7390913</v>
      </c>
      <c r="P130" s="14">
        <f>M130-J130</f>
        <v>0</v>
      </c>
      <c r="Q130" s="4" t="b">
        <f>AND(N130&lt;&gt;0,O130&lt;&gt;0)</f>
        <v>1</v>
      </c>
      <c r="R130" s="4" t="b">
        <f>P130&lt;&gt;0</f>
        <v>0</v>
      </c>
    </row>
    <row r="131" spans="2:18" ht="18" thickBot="1" x14ac:dyDescent="0.45">
      <c r="B131" s="36" t="s">
        <v>465</v>
      </c>
      <c r="C131" s="37" t="s">
        <v>466</v>
      </c>
      <c r="D131" s="38">
        <v>3658501091</v>
      </c>
      <c r="E131" s="4" t="str">
        <f>LEFT(D131,3)</f>
        <v>365</v>
      </c>
      <c r="F131" s="4" t="str">
        <f>MID(D131,4,2)</f>
        <v>85</v>
      </c>
      <c r="G131" s="4" t="str">
        <f>RIGHT(D131,5)</f>
        <v>01091</v>
      </c>
      <c r="H131" s="13">
        <f>IFERROR(VLOOKUP($B131,'SAP 금액'!$A:$C,2,0),0)</f>
        <v>0</v>
      </c>
      <c r="I131" s="13">
        <f>IFERROR(VLOOKUP($B131,'SAP 금액'!$A:$C,3,0),0)</f>
        <v>0</v>
      </c>
      <c r="J131" s="13">
        <f>IFERROR(VLOOKUP(B131,'SAP 금액'!E:F,2,0),0)</f>
        <v>0</v>
      </c>
      <c r="K131" s="13">
        <f>VLOOKUP($B131,'국세청 금액'!$A:$C,2,0)</f>
        <v>184178801</v>
      </c>
      <c r="L131" s="13">
        <f>VLOOKUP($B131,'국세청 금액'!$A:$C,3,0)</f>
        <v>18417584</v>
      </c>
      <c r="M131" s="13">
        <f>VLOOKUP(B131,'국세청 금액'!A:F,6,0)</f>
        <v>6516213</v>
      </c>
      <c r="N131" s="14">
        <f>K131-H131</f>
        <v>184178801</v>
      </c>
      <c r="O131" s="14">
        <f>L131-I131</f>
        <v>18417584</v>
      </c>
      <c r="P131" s="14">
        <f>M131-J131</f>
        <v>6516213</v>
      </c>
      <c r="Q131" s="4" t="b">
        <f>AND(N131&lt;&gt;0,O131&lt;&gt;0)</f>
        <v>1</v>
      </c>
      <c r="R131" s="4" t="b">
        <f>P131&lt;&gt;0</f>
        <v>1</v>
      </c>
    </row>
    <row r="132" spans="2:18" ht="18" thickBot="1" x14ac:dyDescent="0.45">
      <c r="B132" s="33" t="s">
        <v>467</v>
      </c>
      <c r="C132" s="34" t="s">
        <v>468</v>
      </c>
      <c r="D132" s="35">
        <v>4218501178</v>
      </c>
      <c r="E132" s="4" t="str">
        <f>LEFT(D132,3)</f>
        <v>421</v>
      </c>
      <c r="F132" s="4" t="str">
        <f>MID(D132,4,2)</f>
        <v>85</v>
      </c>
      <c r="G132" s="4" t="str">
        <f>RIGHT(D132,5)</f>
        <v>01178</v>
      </c>
      <c r="H132" s="13">
        <f>IFERROR(VLOOKUP($B132,'SAP 금액'!$A:$C,2,0),0)</f>
        <v>0</v>
      </c>
      <c r="I132" s="13">
        <f>IFERROR(VLOOKUP($B132,'SAP 금액'!$A:$C,3,0),0)</f>
        <v>0</v>
      </c>
      <c r="J132" s="13">
        <f>IFERROR(VLOOKUP(B132,'SAP 금액'!E:F,2,0),0)</f>
        <v>0</v>
      </c>
      <c r="K132" s="13">
        <f>VLOOKUP($B132,'국세청 금액'!$A:$C,2,0)</f>
        <v>146278464</v>
      </c>
      <c r="L132" s="13">
        <f>VLOOKUP($B132,'국세청 금액'!$A:$C,3,0)</f>
        <v>14627843</v>
      </c>
      <c r="M132" s="13">
        <f>VLOOKUP(B132,'국세청 금액'!A:F,6,0)</f>
        <v>0</v>
      </c>
      <c r="N132" s="14">
        <f>K132-H132</f>
        <v>146278464</v>
      </c>
      <c r="O132" s="14">
        <f>L132-I132</f>
        <v>14627843</v>
      </c>
      <c r="P132" s="14">
        <f>M132-J132</f>
        <v>0</v>
      </c>
      <c r="Q132" s="4" t="b">
        <f>AND(N132&lt;&gt;0,O132&lt;&gt;0)</f>
        <v>1</v>
      </c>
      <c r="R132" s="4" t="b">
        <f>P132&lt;&gt;0</f>
        <v>0</v>
      </c>
    </row>
    <row r="133" spans="2:18" ht="18" thickBot="1" x14ac:dyDescent="0.45">
      <c r="B133" s="33" t="s">
        <v>469</v>
      </c>
      <c r="C133" s="34" t="s">
        <v>470</v>
      </c>
      <c r="D133" s="35">
        <v>3868501195</v>
      </c>
      <c r="E133" s="4" t="str">
        <f>LEFT(D133,3)</f>
        <v>386</v>
      </c>
      <c r="F133" s="4" t="str">
        <f>MID(D133,4,2)</f>
        <v>85</v>
      </c>
      <c r="G133" s="4" t="str">
        <f>RIGHT(D133,5)</f>
        <v>01195</v>
      </c>
      <c r="H133" s="13">
        <f>IFERROR(VLOOKUP($B133,'SAP 금액'!$A:$C,2,0),0)</f>
        <v>0</v>
      </c>
      <c r="I133" s="13">
        <f>IFERROR(VLOOKUP($B133,'SAP 금액'!$A:$C,3,0),0)</f>
        <v>0</v>
      </c>
      <c r="J133" s="13">
        <f>IFERROR(VLOOKUP(B133,'SAP 금액'!E:F,2,0),0)</f>
        <v>0</v>
      </c>
      <c r="K133" s="13">
        <f>VLOOKUP($B133,'국세청 금액'!$A:$C,2,0)</f>
        <v>32568542</v>
      </c>
      <c r="L133" s="13">
        <f>VLOOKUP($B133,'국세청 금액'!$A:$C,3,0)</f>
        <v>3256720</v>
      </c>
      <c r="M133" s="13">
        <f>VLOOKUP(B133,'국세청 금액'!A:F,6,0)</f>
        <v>2309202</v>
      </c>
      <c r="N133" s="14">
        <f>K133-H133</f>
        <v>32568542</v>
      </c>
      <c r="O133" s="14">
        <f>L133-I133</f>
        <v>3256720</v>
      </c>
      <c r="P133" s="14">
        <f>M133-J133</f>
        <v>2309202</v>
      </c>
      <c r="Q133" s="4" t="b">
        <f>AND(N133&lt;&gt;0,O133&lt;&gt;0)</f>
        <v>1</v>
      </c>
      <c r="R133" s="4" t="b">
        <f>P133&lt;&gt;0</f>
        <v>1</v>
      </c>
    </row>
    <row r="134" spans="2:18" ht="18" thickBot="1" x14ac:dyDescent="0.45">
      <c r="B134" s="33" t="s">
        <v>471</v>
      </c>
      <c r="C134" s="34" t="s">
        <v>472</v>
      </c>
      <c r="D134" s="35">
        <v>6558501015</v>
      </c>
      <c r="E134" s="4" t="str">
        <f>LEFT(D134,3)</f>
        <v>655</v>
      </c>
      <c r="F134" s="4" t="str">
        <f>MID(D134,4,2)</f>
        <v>85</v>
      </c>
      <c r="G134" s="4" t="str">
        <f>RIGHT(D134,5)</f>
        <v>01015</v>
      </c>
      <c r="H134" s="13">
        <f>IFERROR(VLOOKUP($B134,'SAP 금액'!$A:$C,2,0),0)</f>
        <v>0</v>
      </c>
      <c r="I134" s="13">
        <f>IFERROR(VLOOKUP($B134,'SAP 금액'!$A:$C,3,0),0)</f>
        <v>0</v>
      </c>
      <c r="J134" s="13">
        <f>IFERROR(VLOOKUP(B134,'SAP 금액'!E:F,2,0),0)</f>
        <v>0</v>
      </c>
      <c r="K134" s="13">
        <f>VLOOKUP($B134,'국세청 금액'!$A:$C,2,0)</f>
        <v>156532652</v>
      </c>
      <c r="L134" s="13">
        <f>VLOOKUP($B134,'국세청 금액'!$A:$C,3,0)</f>
        <v>15652923</v>
      </c>
      <c r="M134" s="13">
        <f>VLOOKUP(B134,'국세청 금액'!A:F,6,0)</f>
        <v>0</v>
      </c>
      <c r="N134" s="14">
        <f>K134-H134</f>
        <v>156532652</v>
      </c>
      <c r="O134" s="14">
        <f>L134-I134</f>
        <v>15652923</v>
      </c>
      <c r="P134" s="14">
        <f>M134-J134</f>
        <v>0</v>
      </c>
      <c r="Q134" s="4" t="b">
        <f>AND(N134&lt;&gt;0,O134&lt;&gt;0)</f>
        <v>1</v>
      </c>
      <c r="R134" s="4" t="b">
        <f>P134&lt;&gt;0</f>
        <v>0</v>
      </c>
    </row>
    <row r="135" spans="2:18" ht="18" thickBot="1" x14ac:dyDescent="0.45">
      <c r="B135" s="33" t="s">
        <v>473</v>
      </c>
      <c r="C135" s="34" t="s">
        <v>474</v>
      </c>
      <c r="D135" s="35">
        <v>3198501098</v>
      </c>
      <c r="E135" s="4" t="str">
        <f>LEFT(D135,3)</f>
        <v>319</v>
      </c>
      <c r="F135" s="4" t="str">
        <f>MID(D135,4,2)</f>
        <v>85</v>
      </c>
      <c r="G135" s="4" t="str">
        <f>RIGHT(D135,5)</f>
        <v>01098</v>
      </c>
      <c r="H135" s="13">
        <f>IFERROR(VLOOKUP($B135,'SAP 금액'!$A:$C,2,0),0)</f>
        <v>0</v>
      </c>
      <c r="I135" s="13">
        <f>IFERROR(VLOOKUP($B135,'SAP 금액'!$A:$C,3,0),0)</f>
        <v>0</v>
      </c>
      <c r="J135" s="13">
        <f>IFERROR(VLOOKUP(B135,'SAP 금액'!E:F,2,0),0)</f>
        <v>0</v>
      </c>
      <c r="K135" s="13">
        <f>VLOOKUP($B135,'국세청 금액'!$A:$C,2,0)</f>
        <v>150277805</v>
      </c>
      <c r="L135" s="13">
        <f>VLOOKUP($B135,'국세청 금액'!$A:$C,3,0)</f>
        <v>15027774</v>
      </c>
      <c r="M135" s="13">
        <f>VLOOKUP(B135,'국세청 금액'!A:F,6,0)</f>
        <v>0</v>
      </c>
      <c r="N135" s="14">
        <f>K135-H135</f>
        <v>150277805</v>
      </c>
      <c r="O135" s="14">
        <f>L135-I135</f>
        <v>15027774</v>
      </c>
      <c r="P135" s="14">
        <f>M135-J135</f>
        <v>0</v>
      </c>
      <c r="Q135" s="4" t="b">
        <f>AND(N135&lt;&gt;0,O135&lt;&gt;0)</f>
        <v>1</v>
      </c>
      <c r="R135" s="4" t="b">
        <f>P135&lt;&gt;0</f>
        <v>0</v>
      </c>
    </row>
    <row r="136" spans="2:18" ht="18" thickBot="1" x14ac:dyDescent="0.45">
      <c r="B136" s="33" t="s">
        <v>475</v>
      </c>
      <c r="C136" s="34" t="s">
        <v>476</v>
      </c>
      <c r="D136" s="35">
        <v>7408501026</v>
      </c>
      <c r="E136" s="4" t="str">
        <f>LEFT(D136,3)</f>
        <v>740</v>
      </c>
      <c r="F136" s="4" t="str">
        <f>MID(D136,4,2)</f>
        <v>85</v>
      </c>
      <c r="G136" s="4" t="str">
        <f>RIGHT(D136,5)</f>
        <v>01026</v>
      </c>
      <c r="H136" s="13">
        <f>IFERROR(VLOOKUP($B136,'SAP 금액'!$A:$C,2,0),0)</f>
        <v>0</v>
      </c>
      <c r="I136" s="13">
        <f>IFERROR(VLOOKUP($B136,'SAP 금액'!$A:$C,3,0),0)</f>
        <v>0</v>
      </c>
      <c r="J136" s="13">
        <f>IFERROR(VLOOKUP(B136,'SAP 금액'!E:F,2,0),0)</f>
        <v>0</v>
      </c>
      <c r="K136" s="13">
        <f>VLOOKUP($B136,'국세청 금액'!$A:$C,2,0)</f>
        <v>138493899</v>
      </c>
      <c r="L136" s="13">
        <f>VLOOKUP($B136,'국세청 금액'!$A:$C,3,0)</f>
        <v>13849183</v>
      </c>
      <c r="M136" s="13">
        <f>VLOOKUP(B136,'국세청 금액'!A:F,6,0)</f>
        <v>2137568</v>
      </c>
      <c r="N136" s="14">
        <f>K136-H136</f>
        <v>138493899</v>
      </c>
      <c r="O136" s="14">
        <f>L136-I136</f>
        <v>13849183</v>
      </c>
      <c r="P136" s="14">
        <f>M136-J136</f>
        <v>2137568</v>
      </c>
      <c r="Q136" s="4" t="b">
        <f>AND(N136&lt;&gt;0,O136&lt;&gt;0)</f>
        <v>1</v>
      </c>
      <c r="R136" s="4" t="b">
        <f>P136&lt;&gt;0</f>
        <v>1</v>
      </c>
    </row>
    <row r="137" spans="2:18" ht="18" thickBot="1" x14ac:dyDescent="0.45">
      <c r="B137" s="33" t="s">
        <v>477</v>
      </c>
      <c r="C137" s="34" t="s">
        <v>478</v>
      </c>
      <c r="D137" s="35">
        <v>8568501068</v>
      </c>
      <c r="E137" s="4" t="str">
        <f>LEFT(D137,3)</f>
        <v>856</v>
      </c>
      <c r="F137" s="4" t="str">
        <f>MID(D137,4,2)</f>
        <v>85</v>
      </c>
      <c r="G137" s="4" t="str">
        <f>RIGHT(D137,5)</f>
        <v>01068</v>
      </c>
      <c r="H137" s="13">
        <f>IFERROR(VLOOKUP($B137,'SAP 금액'!$A:$C,2,0),0)</f>
        <v>0</v>
      </c>
      <c r="I137" s="13">
        <f>IFERROR(VLOOKUP($B137,'SAP 금액'!$A:$C,3,0),0)</f>
        <v>0</v>
      </c>
      <c r="J137" s="13">
        <f>IFERROR(VLOOKUP(B137,'SAP 금액'!E:F,2,0),0)</f>
        <v>0</v>
      </c>
      <c r="K137" s="13">
        <f>VLOOKUP($B137,'국세청 금액'!$A:$C,2,0)</f>
        <v>132519189</v>
      </c>
      <c r="L137" s="13">
        <f>VLOOKUP($B137,'국세청 금액'!$A:$C,3,0)</f>
        <v>13251767</v>
      </c>
      <c r="M137" s="13">
        <f>VLOOKUP(B137,'국세청 금액'!A:F,6,0)</f>
        <v>5379253</v>
      </c>
      <c r="N137" s="14">
        <f>K137-H137</f>
        <v>132519189</v>
      </c>
      <c r="O137" s="14">
        <f>L137-I137</f>
        <v>13251767</v>
      </c>
      <c r="P137" s="14">
        <f>M137-J137</f>
        <v>5379253</v>
      </c>
      <c r="Q137" s="4" t="b">
        <f>AND(N137&lt;&gt;0,O137&lt;&gt;0)</f>
        <v>1</v>
      </c>
      <c r="R137" s="4" t="b">
        <f>P137&lt;&gt;0</f>
        <v>1</v>
      </c>
    </row>
    <row r="138" spans="2:18" ht="18" thickBot="1" x14ac:dyDescent="0.45">
      <c r="B138" s="33" t="s">
        <v>479</v>
      </c>
      <c r="C138" s="34" t="s">
        <v>480</v>
      </c>
      <c r="D138" s="35">
        <v>6458501148</v>
      </c>
      <c r="E138" s="4" t="str">
        <f>LEFT(D138,3)</f>
        <v>645</v>
      </c>
      <c r="F138" s="4" t="str">
        <f>MID(D138,4,2)</f>
        <v>85</v>
      </c>
      <c r="G138" s="4" t="str">
        <f>RIGHT(D138,5)</f>
        <v>01148</v>
      </c>
      <c r="H138" s="13">
        <f>IFERROR(VLOOKUP($B138,'SAP 금액'!$A:$C,2,0),0)</f>
        <v>0</v>
      </c>
      <c r="I138" s="13">
        <f>IFERROR(VLOOKUP($B138,'SAP 금액'!$A:$C,3,0),0)</f>
        <v>0</v>
      </c>
      <c r="J138" s="13">
        <f>IFERROR(VLOOKUP(B138,'SAP 금액'!E:F,2,0),0)</f>
        <v>0</v>
      </c>
      <c r="K138" s="13">
        <f>VLOOKUP($B138,'국세청 금액'!$A:$C,2,0)</f>
        <v>45557757</v>
      </c>
      <c r="L138" s="13">
        <f>VLOOKUP($B138,'국세청 금액'!$A:$C,3,0)</f>
        <v>4555775</v>
      </c>
      <c r="M138" s="13">
        <f>VLOOKUP(B138,'국세청 금액'!A:F,6,0)</f>
        <v>6498430</v>
      </c>
      <c r="N138" s="14">
        <f>K138-H138</f>
        <v>45557757</v>
      </c>
      <c r="O138" s="14">
        <f>L138-I138</f>
        <v>4555775</v>
      </c>
      <c r="P138" s="14">
        <f>M138-J138</f>
        <v>6498430</v>
      </c>
      <c r="Q138" s="4" t="b">
        <f>AND(N138&lt;&gt;0,O138&lt;&gt;0)</f>
        <v>1</v>
      </c>
      <c r="R138" s="4" t="b">
        <f>P138&lt;&gt;0</f>
        <v>1</v>
      </c>
    </row>
    <row r="139" spans="2:18" ht="18" thickBot="1" x14ac:dyDescent="0.45">
      <c r="B139" s="33" t="s">
        <v>481</v>
      </c>
      <c r="C139" s="34" t="s">
        <v>482</v>
      </c>
      <c r="D139" s="35">
        <v>6148502589</v>
      </c>
      <c r="E139" s="4" t="str">
        <f>LEFT(D139,3)</f>
        <v>614</v>
      </c>
      <c r="F139" s="4" t="str">
        <f>MID(D139,4,2)</f>
        <v>85</v>
      </c>
      <c r="G139" s="4" t="str">
        <f>RIGHT(D139,5)</f>
        <v>02589</v>
      </c>
      <c r="H139" s="13">
        <f>IFERROR(VLOOKUP($B139,'SAP 금액'!$A:$C,2,0),0)</f>
        <v>0</v>
      </c>
      <c r="I139" s="13">
        <f>IFERROR(VLOOKUP($B139,'SAP 금액'!$A:$C,3,0),0)</f>
        <v>0</v>
      </c>
      <c r="J139" s="13">
        <f>IFERROR(VLOOKUP(B139,'SAP 금액'!E:F,2,0),0)</f>
        <v>0</v>
      </c>
      <c r="K139" s="13">
        <f>VLOOKUP($B139,'국세청 금액'!$A:$C,2,0)</f>
        <v>7010</v>
      </c>
      <c r="L139" s="13">
        <f>VLOOKUP($B139,'국세청 금액'!$A:$C,3,0)</f>
        <v>701</v>
      </c>
      <c r="M139" s="13">
        <f>VLOOKUP(B139,'국세청 금액'!A:F,6,0)</f>
        <v>0</v>
      </c>
      <c r="N139" s="14">
        <f>K139-H139</f>
        <v>7010</v>
      </c>
      <c r="O139" s="14">
        <f>L139-I139</f>
        <v>701</v>
      </c>
      <c r="P139" s="14">
        <f>M139-J139</f>
        <v>0</v>
      </c>
      <c r="Q139" s="4" t="b">
        <f>AND(N139&lt;&gt;0,O139&lt;&gt;0)</f>
        <v>1</v>
      </c>
      <c r="R139" s="4" t="b">
        <f>P139&lt;&gt;0</f>
        <v>0</v>
      </c>
    </row>
    <row r="140" spans="2:18" ht="18" thickBot="1" x14ac:dyDescent="0.45">
      <c r="B140" s="33" t="s">
        <v>483</v>
      </c>
      <c r="C140" s="34" t="s">
        <v>484</v>
      </c>
      <c r="D140" s="35">
        <v>2938501122</v>
      </c>
      <c r="E140" s="4" t="str">
        <f>LEFT(D140,3)</f>
        <v>293</v>
      </c>
      <c r="F140" s="4" t="str">
        <f>MID(D140,4,2)</f>
        <v>85</v>
      </c>
      <c r="G140" s="4" t="str">
        <f>RIGHT(D140,5)</f>
        <v>01122</v>
      </c>
      <c r="H140" s="13">
        <f>IFERROR(VLOOKUP($B140,'SAP 금액'!$A:$C,2,0),0)</f>
        <v>0</v>
      </c>
      <c r="I140" s="13">
        <f>IFERROR(VLOOKUP($B140,'SAP 금액'!$A:$C,3,0),0)</f>
        <v>0</v>
      </c>
      <c r="J140" s="13">
        <f>IFERROR(VLOOKUP(B140,'SAP 금액'!E:F,2,0),0)</f>
        <v>0</v>
      </c>
      <c r="K140" s="13">
        <f>VLOOKUP($B140,'국세청 금액'!$A:$C,2,0)</f>
        <v>7990280</v>
      </c>
      <c r="L140" s="13">
        <f>VLOOKUP($B140,'국세청 금액'!$A:$C,3,0)</f>
        <v>799025</v>
      </c>
      <c r="M140" s="13">
        <f>VLOOKUP(B140,'국세청 금액'!A:F,6,0)</f>
        <v>0</v>
      </c>
      <c r="N140" s="14">
        <f>K140-H140</f>
        <v>7990280</v>
      </c>
      <c r="O140" s="14">
        <f>L140-I140</f>
        <v>799025</v>
      </c>
      <c r="P140" s="14">
        <f>M140-J140</f>
        <v>0</v>
      </c>
      <c r="Q140" s="4" t="b">
        <f>AND(N140&lt;&gt;0,O140&lt;&gt;0)</f>
        <v>1</v>
      </c>
      <c r="R140" s="4" t="b">
        <f>P140&lt;&gt;0</f>
        <v>0</v>
      </c>
    </row>
    <row r="141" spans="2:18" ht="18" thickBot="1" x14ac:dyDescent="0.45">
      <c r="B141" s="33" t="s">
        <v>485</v>
      </c>
      <c r="C141" s="34" t="s">
        <v>486</v>
      </c>
      <c r="D141" s="35">
        <v>7058501080</v>
      </c>
      <c r="E141" s="4" t="str">
        <f>LEFT(D141,3)</f>
        <v>705</v>
      </c>
      <c r="F141" s="4" t="str">
        <f>MID(D141,4,2)</f>
        <v>85</v>
      </c>
      <c r="G141" s="4" t="str">
        <f>RIGHT(D141,5)</f>
        <v>01080</v>
      </c>
      <c r="H141" s="13">
        <f>IFERROR(VLOOKUP($B141,'SAP 금액'!$A:$C,2,0),0)</f>
        <v>0</v>
      </c>
      <c r="I141" s="13">
        <f>IFERROR(VLOOKUP($B141,'SAP 금액'!$A:$C,3,0),0)</f>
        <v>0</v>
      </c>
      <c r="J141" s="13">
        <f>IFERROR(VLOOKUP(B141,'SAP 금액'!E:F,2,0),0)</f>
        <v>0</v>
      </c>
      <c r="K141" s="13">
        <f>VLOOKUP($B141,'국세청 금액'!$A:$C,2,0)</f>
        <v>25094036</v>
      </c>
      <c r="L141" s="13">
        <f>VLOOKUP($B141,'국세청 금액'!$A:$C,3,0)</f>
        <v>2509409</v>
      </c>
      <c r="M141" s="13">
        <f>VLOOKUP(B141,'국세청 금액'!A:F,6,0)</f>
        <v>6061910</v>
      </c>
      <c r="N141" s="14">
        <f>K141-H141</f>
        <v>25094036</v>
      </c>
      <c r="O141" s="14">
        <f>L141-I141</f>
        <v>2509409</v>
      </c>
      <c r="P141" s="14">
        <f>M141-J141</f>
        <v>6061910</v>
      </c>
      <c r="Q141" s="4" t="b">
        <f>AND(N141&lt;&gt;0,O141&lt;&gt;0)</f>
        <v>1</v>
      </c>
      <c r="R141" s="4" t="b">
        <f>P141&lt;&gt;0</f>
        <v>1</v>
      </c>
    </row>
    <row r="142" spans="2:18" ht="18" thickBot="1" x14ac:dyDescent="0.45">
      <c r="B142" s="33" t="s">
        <v>487</v>
      </c>
      <c r="C142" s="34" t="s">
        <v>488</v>
      </c>
      <c r="D142" s="35">
        <v>1168510800</v>
      </c>
      <c r="E142" s="4" t="str">
        <f>LEFT(D142,3)</f>
        <v>116</v>
      </c>
      <c r="F142" s="4" t="str">
        <f>MID(D142,4,2)</f>
        <v>85</v>
      </c>
      <c r="G142" s="4" t="str">
        <f>RIGHT(D142,5)</f>
        <v>10800</v>
      </c>
      <c r="H142" s="13">
        <f>IFERROR(VLOOKUP($B142,'SAP 금액'!$A:$C,2,0),0)</f>
        <v>0</v>
      </c>
      <c r="I142" s="13">
        <f>IFERROR(VLOOKUP($B142,'SAP 금액'!$A:$C,3,0),0)</f>
        <v>0</v>
      </c>
      <c r="J142" s="13">
        <f>IFERROR(VLOOKUP(B142,'SAP 금액'!E:F,2,0),0)</f>
        <v>0</v>
      </c>
      <c r="K142" s="13">
        <f>VLOOKUP($B142,'국세청 금액'!$A:$C,2,0)</f>
        <v>84526146</v>
      </c>
      <c r="L142" s="13">
        <f>VLOOKUP($B142,'국세청 금액'!$A:$C,3,0)</f>
        <v>8452363</v>
      </c>
      <c r="M142" s="13">
        <f>VLOOKUP(B142,'국세청 금액'!A:F,6,0)</f>
        <v>0</v>
      </c>
      <c r="N142" s="14">
        <f>K142-H142</f>
        <v>84526146</v>
      </c>
      <c r="O142" s="14">
        <f>L142-I142</f>
        <v>8452363</v>
      </c>
      <c r="P142" s="14">
        <f>M142-J142</f>
        <v>0</v>
      </c>
      <c r="Q142" s="4" t="b">
        <f>AND(N142&lt;&gt;0,O142&lt;&gt;0)</f>
        <v>1</v>
      </c>
      <c r="R142" s="4" t="b">
        <f>P142&lt;&gt;0</f>
        <v>0</v>
      </c>
    </row>
    <row r="143" spans="2:18" ht="18" thickBot="1" x14ac:dyDescent="0.45">
      <c r="B143" s="33" t="s">
        <v>489</v>
      </c>
      <c r="C143" s="34" t="s">
        <v>490</v>
      </c>
      <c r="D143" s="35">
        <v>3108521665</v>
      </c>
      <c r="E143" s="4" t="str">
        <f>LEFT(D143,3)</f>
        <v>310</v>
      </c>
      <c r="F143" s="4" t="str">
        <f>MID(D143,4,2)</f>
        <v>85</v>
      </c>
      <c r="G143" s="4" t="str">
        <f>RIGHT(D143,5)</f>
        <v>21665</v>
      </c>
      <c r="H143" s="13">
        <f>IFERROR(VLOOKUP($B143,'SAP 금액'!$A:$C,2,0),0)</f>
        <v>0</v>
      </c>
      <c r="I143" s="13">
        <f>IFERROR(VLOOKUP($B143,'SAP 금액'!$A:$C,3,0),0)</f>
        <v>0</v>
      </c>
      <c r="J143" s="13">
        <f>IFERROR(VLOOKUP(B143,'SAP 금액'!E:F,2,0),0)</f>
        <v>0</v>
      </c>
      <c r="K143" s="13">
        <f>VLOOKUP($B143,'국세청 금액'!$A:$C,2,0)</f>
        <v>16854338</v>
      </c>
      <c r="L143" s="13">
        <f>VLOOKUP($B143,'국세청 금액'!$A:$C,3,0)</f>
        <v>1685423</v>
      </c>
      <c r="M143" s="13">
        <f>VLOOKUP(B143,'국세청 금액'!A:F,6,0)</f>
        <v>0</v>
      </c>
      <c r="N143" s="14">
        <f>K143-H143</f>
        <v>16854338</v>
      </c>
      <c r="O143" s="14">
        <f>L143-I143</f>
        <v>1685423</v>
      </c>
      <c r="P143" s="14">
        <f>M143-J143</f>
        <v>0</v>
      </c>
      <c r="Q143" s="4" t="b">
        <f>AND(N143&lt;&gt;0,O143&lt;&gt;0)</f>
        <v>1</v>
      </c>
      <c r="R143" s="4" t="b">
        <f>P143&lt;&gt;0</f>
        <v>0</v>
      </c>
    </row>
    <row r="144" spans="2:18" ht="18" thickBot="1" x14ac:dyDescent="0.45">
      <c r="B144" s="33" t="s">
        <v>491</v>
      </c>
      <c r="C144" s="34" t="s">
        <v>492</v>
      </c>
      <c r="D144" s="35">
        <v>4318501025</v>
      </c>
      <c r="E144" s="4" t="str">
        <f>LEFT(D144,3)</f>
        <v>431</v>
      </c>
      <c r="F144" s="4" t="str">
        <f>MID(D144,4,2)</f>
        <v>85</v>
      </c>
      <c r="G144" s="4" t="str">
        <f>RIGHT(D144,5)</f>
        <v>01025</v>
      </c>
      <c r="H144" s="13">
        <f>IFERROR(VLOOKUP($B144,'SAP 금액'!$A:$C,2,0),0)</f>
        <v>0</v>
      </c>
      <c r="I144" s="13">
        <f>IFERROR(VLOOKUP($B144,'SAP 금액'!$A:$C,3,0),0)</f>
        <v>0</v>
      </c>
      <c r="J144" s="13">
        <f>IFERROR(VLOOKUP(B144,'SAP 금액'!E:F,2,0),0)</f>
        <v>0</v>
      </c>
      <c r="K144" s="13">
        <f>VLOOKUP($B144,'국세청 금액'!$A:$C,2,0)</f>
        <v>54773029</v>
      </c>
      <c r="L144" s="13">
        <f>VLOOKUP($B144,'국세청 금액'!$A:$C,3,0)</f>
        <v>5476995</v>
      </c>
      <c r="M144" s="13">
        <f>VLOOKUP(B144,'국세청 금액'!A:F,6,0)</f>
        <v>5416800</v>
      </c>
      <c r="N144" s="14">
        <f>K144-H144</f>
        <v>54773029</v>
      </c>
      <c r="O144" s="14">
        <f>L144-I144</f>
        <v>5476995</v>
      </c>
      <c r="P144" s="14">
        <f>M144-J144</f>
        <v>5416800</v>
      </c>
      <c r="Q144" s="4" t="b">
        <f>AND(N144&lt;&gt;0,O144&lt;&gt;0)</f>
        <v>1</v>
      </c>
      <c r="R144" s="4" t="b">
        <f>P144&lt;&gt;0</f>
        <v>1</v>
      </c>
    </row>
    <row r="145" spans="2:18" ht="18" thickBot="1" x14ac:dyDescent="0.45">
      <c r="B145" s="33" t="s">
        <v>493</v>
      </c>
      <c r="C145" s="34" t="s">
        <v>494</v>
      </c>
      <c r="D145" s="35">
        <v>6328501249</v>
      </c>
      <c r="E145" s="4" t="str">
        <f>LEFT(D145,3)</f>
        <v>632</v>
      </c>
      <c r="F145" s="4" t="str">
        <f>MID(D145,4,2)</f>
        <v>85</v>
      </c>
      <c r="G145" s="4" t="str">
        <f>RIGHT(D145,5)</f>
        <v>01249</v>
      </c>
      <c r="H145" s="13">
        <f>IFERROR(VLOOKUP($B145,'SAP 금액'!$A:$C,2,0),0)</f>
        <v>0</v>
      </c>
      <c r="I145" s="13">
        <f>IFERROR(VLOOKUP($B145,'SAP 금액'!$A:$C,3,0),0)</f>
        <v>0</v>
      </c>
      <c r="J145" s="13">
        <f>IFERROR(VLOOKUP(B145,'SAP 금액'!E:F,2,0),0)</f>
        <v>0</v>
      </c>
      <c r="K145" s="13">
        <f>VLOOKUP($B145,'국세청 금액'!$A:$C,2,0)</f>
        <v>26449986</v>
      </c>
      <c r="L145" s="13">
        <f>VLOOKUP($B145,'국세청 금액'!$A:$C,3,0)</f>
        <v>2644993</v>
      </c>
      <c r="M145" s="13">
        <f>VLOOKUP(B145,'국세청 금액'!A:F,6,0)</f>
        <v>5416800</v>
      </c>
      <c r="N145" s="14">
        <f>K145-H145</f>
        <v>26449986</v>
      </c>
      <c r="O145" s="14">
        <f>L145-I145</f>
        <v>2644993</v>
      </c>
      <c r="P145" s="14">
        <f>M145-J145</f>
        <v>5416800</v>
      </c>
      <c r="Q145" s="4" t="b">
        <f>AND(N145&lt;&gt;0,O145&lt;&gt;0)</f>
        <v>1</v>
      </c>
      <c r="R145" s="4" t="b">
        <f>P145&lt;&gt;0</f>
        <v>1</v>
      </c>
    </row>
    <row r="146" spans="2:18" ht="18" thickBot="1" x14ac:dyDescent="0.45">
      <c r="B146" s="33" t="s">
        <v>495</v>
      </c>
      <c r="C146" s="34" t="s">
        <v>496</v>
      </c>
      <c r="D146" s="35">
        <v>6198503303</v>
      </c>
      <c r="E146" s="4" t="str">
        <f>LEFT(D146,3)</f>
        <v>619</v>
      </c>
      <c r="F146" s="4" t="str">
        <f>MID(D146,4,2)</f>
        <v>85</v>
      </c>
      <c r="G146" s="4" t="str">
        <f>RIGHT(D146,5)</f>
        <v>03303</v>
      </c>
      <c r="H146" s="13">
        <f>IFERROR(VLOOKUP($B146,'SAP 금액'!$A:$C,2,0),0)</f>
        <v>0</v>
      </c>
      <c r="I146" s="13">
        <f>IFERROR(VLOOKUP($B146,'SAP 금액'!$A:$C,3,0),0)</f>
        <v>0</v>
      </c>
      <c r="J146" s="13">
        <f>IFERROR(VLOOKUP(B146,'SAP 금액'!E:F,2,0),0)</f>
        <v>0</v>
      </c>
      <c r="K146" s="13">
        <f>VLOOKUP($B146,'국세청 금액'!$A:$C,2,0)</f>
        <v>41875779</v>
      </c>
      <c r="L146" s="13">
        <f>VLOOKUP($B146,'국세청 금액'!$A:$C,3,0)</f>
        <v>4187398</v>
      </c>
      <c r="M146" s="13">
        <f>VLOOKUP(B146,'국세청 금액'!A:F,6,0)</f>
        <v>0</v>
      </c>
      <c r="N146" s="14">
        <f>K146-H146</f>
        <v>41875779</v>
      </c>
      <c r="O146" s="14">
        <f>L146-I146</f>
        <v>4187398</v>
      </c>
      <c r="P146" s="14">
        <f>M146-J146</f>
        <v>0</v>
      </c>
      <c r="Q146" s="4" t="b">
        <f>AND(N146&lt;&gt;0,O146&lt;&gt;0)</f>
        <v>1</v>
      </c>
      <c r="R146" s="4" t="b">
        <f>P146&lt;&gt;0</f>
        <v>0</v>
      </c>
    </row>
    <row r="147" spans="2:18" ht="18" thickBot="1" x14ac:dyDescent="0.45">
      <c r="B147" s="33" t="s">
        <v>497</v>
      </c>
      <c r="C147" s="34" t="s">
        <v>498</v>
      </c>
      <c r="D147" s="35">
        <v>4178516309</v>
      </c>
      <c r="E147" s="4" t="str">
        <f>LEFT(D147,3)</f>
        <v>417</v>
      </c>
      <c r="F147" s="4" t="str">
        <f>MID(D147,4,2)</f>
        <v>85</v>
      </c>
      <c r="G147" s="4" t="str">
        <f>RIGHT(D147,5)</f>
        <v>16309</v>
      </c>
      <c r="H147" s="13">
        <f>IFERROR(VLOOKUP($B147,'SAP 금액'!$A:$C,2,0),0)</f>
        <v>0</v>
      </c>
      <c r="I147" s="13">
        <f>IFERROR(VLOOKUP($B147,'SAP 금액'!$A:$C,3,0),0)</f>
        <v>0</v>
      </c>
      <c r="J147" s="13">
        <f>IFERROR(VLOOKUP(B147,'SAP 금액'!E:F,2,0),0)</f>
        <v>0</v>
      </c>
      <c r="K147" s="13">
        <f>VLOOKUP($B147,'국세청 금액'!$A:$C,2,0)</f>
        <v>161575635</v>
      </c>
      <c r="L147" s="13">
        <f>VLOOKUP($B147,'국세청 금액'!$A:$C,3,0)</f>
        <v>16157368</v>
      </c>
      <c r="M147" s="13">
        <f>VLOOKUP(B147,'국세청 금액'!A:F,6,0)</f>
        <v>3489600</v>
      </c>
      <c r="N147" s="14">
        <f>K147-H147</f>
        <v>161575635</v>
      </c>
      <c r="O147" s="14">
        <f>L147-I147</f>
        <v>16157368</v>
      </c>
      <c r="P147" s="14">
        <f>M147-J147</f>
        <v>3489600</v>
      </c>
      <c r="Q147" s="4" t="b">
        <f>AND(N147&lt;&gt;0,O147&lt;&gt;0)</f>
        <v>1</v>
      </c>
      <c r="R147" s="4" t="b">
        <f>P147&lt;&gt;0</f>
        <v>1</v>
      </c>
    </row>
    <row r="148" spans="2:18" ht="18" thickBot="1" x14ac:dyDescent="0.45">
      <c r="B148" s="33" t="s">
        <v>499</v>
      </c>
      <c r="C148" s="34" t="s">
        <v>500</v>
      </c>
      <c r="D148" s="35">
        <v>2118576204</v>
      </c>
      <c r="E148" s="4" t="str">
        <f>LEFT(D148,3)</f>
        <v>211</v>
      </c>
      <c r="F148" s="4" t="str">
        <f>MID(D148,4,2)</f>
        <v>85</v>
      </c>
      <c r="G148" s="4" t="str">
        <f>RIGHT(D148,5)</f>
        <v>76204</v>
      </c>
      <c r="H148" s="13">
        <f>IFERROR(VLOOKUP($B148,'SAP 금액'!$A:$C,2,0),0)</f>
        <v>0</v>
      </c>
      <c r="I148" s="13">
        <f>IFERROR(VLOOKUP($B148,'SAP 금액'!$A:$C,3,0),0)</f>
        <v>0</v>
      </c>
      <c r="J148" s="13">
        <f>IFERROR(VLOOKUP(B148,'SAP 금액'!E:F,2,0),0)</f>
        <v>0</v>
      </c>
      <c r="K148" s="13">
        <f>VLOOKUP($B148,'국세청 금액'!$A:$C,2,0)</f>
        <v>33448496</v>
      </c>
      <c r="L148" s="13">
        <f>VLOOKUP($B148,'국세청 금액'!$A:$C,3,0)</f>
        <v>3344845</v>
      </c>
      <c r="M148" s="13">
        <f>VLOOKUP(B148,'국세청 금액'!A:F,6,0)</f>
        <v>1862400</v>
      </c>
      <c r="N148" s="14">
        <f>K148-H148</f>
        <v>33448496</v>
      </c>
      <c r="O148" s="14">
        <f>L148-I148</f>
        <v>3344845</v>
      </c>
      <c r="P148" s="14">
        <f>M148-J148</f>
        <v>1862400</v>
      </c>
      <c r="Q148" s="4" t="b">
        <f>AND(N148&lt;&gt;0,O148&lt;&gt;0)</f>
        <v>1</v>
      </c>
      <c r="R148" s="4" t="b">
        <f>P148&lt;&gt;0</f>
        <v>1</v>
      </c>
    </row>
    <row r="149" spans="2:18" ht="18" thickBot="1" x14ac:dyDescent="0.45">
      <c r="B149" s="36" t="s">
        <v>501</v>
      </c>
      <c r="C149" s="37" t="s">
        <v>502</v>
      </c>
      <c r="D149" s="38">
        <v>8518501122</v>
      </c>
      <c r="E149" s="4" t="str">
        <f>LEFT(D149,3)</f>
        <v>851</v>
      </c>
      <c r="F149" s="4" t="str">
        <f>MID(D149,4,2)</f>
        <v>85</v>
      </c>
      <c r="G149" s="4" t="str">
        <f>RIGHT(D149,5)</f>
        <v>01122</v>
      </c>
      <c r="H149" s="13">
        <f>IFERROR(VLOOKUP($B149,'SAP 금액'!$A:$C,2,0),0)</f>
        <v>0</v>
      </c>
      <c r="I149" s="13">
        <f>IFERROR(VLOOKUP($B149,'SAP 금액'!$A:$C,3,0),0)</f>
        <v>0</v>
      </c>
      <c r="J149" s="13">
        <f>IFERROR(VLOOKUP(B149,'SAP 금액'!E:F,2,0),0)</f>
        <v>0</v>
      </c>
      <c r="K149" s="13">
        <f>VLOOKUP($B149,'국세청 금액'!$A:$C,2,0)</f>
        <v>157692247</v>
      </c>
      <c r="L149" s="13">
        <f>VLOOKUP($B149,'국세청 금액'!$A:$C,3,0)</f>
        <v>15769072</v>
      </c>
      <c r="M149" s="13">
        <f>VLOOKUP(B149,'국세청 금액'!A:F,6,0)</f>
        <v>4898570</v>
      </c>
      <c r="N149" s="14">
        <f>K149-H149</f>
        <v>157692247</v>
      </c>
      <c r="O149" s="14">
        <f>L149-I149</f>
        <v>15769072</v>
      </c>
      <c r="P149" s="14">
        <f>M149-J149</f>
        <v>4898570</v>
      </c>
      <c r="Q149" s="4" t="b">
        <f>AND(N149&lt;&gt;0,O149&lt;&gt;0)</f>
        <v>1</v>
      </c>
      <c r="R149" s="4" t="b">
        <f>P149&lt;&gt;0</f>
        <v>1</v>
      </c>
    </row>
    <row r="150" spans="2:18" ht="18" thickBot="1" x14ac:dyDescent="0.45">
      <c r="B150" s="36" t="s">
        <v>503</v>
      </c>
      <c r="C150" s="37" t="s">
        <v>504</v>
      </c>
      <c r="D150" s="38">
        <v>8378501029</v>
      </c>
      <c r="E150" s="4" t="str">
        <f>LEFT(D150,3)</f>
        <v>837</v>
      </c>
      <c r="F150" s="4" t="str">
        <f>MID(D150,4,2)</f>
        <v>85</v>
      </c>
      <c r="G150" s="4" t="str">
        <f>RIGHT(D150,5)</f>
        <v>01029</v>
      </c>
      <c r="H150" s="13">
        <f>IFERROR(VLOOKUP($B150,'SAP 금액'!$A:$C,2,0),0)</f>
        <v>0</v>
      </c>
      <c r="I150" s="13">
        <f>IFERROR(VLOOKUP($B150,'SAP 금액'!$A:$C,3,0),0)</f>
        <v>0</v>
      </c>
      <c r="J150" s="13">
        <f>IFERROR(VLOOKUP(B150,'SAP 금액'!E:F,2,0),0)</f>
        <v>0</v>
      </c>
      <c r="K150" s="13">
        <f>VLOOKUP($B150,'국세청 금액'!$A:$C,2,0)</f>
        <v>130260912</v>
      </c>
      <c r="L150" s="13">
        <f>VLOOKUP($B150,'국세청 금액'!$A:$C,3,0)</f>
        <v>13026093</v>
      </c>
      <c r="M150" s="13">
        <f>VLOOKUP(B150,'국세청 금액'!A:F,6,0)</f>
        <v>524940</v>
      </c>
      <c r="N150" s="14">
        <f>K150-H150</f>
        <v>130260912</v>
      </c>
      <c r="O150" s="14">
        <f>L150-I150</f>
        <v>13026093</v>
      </c>
      <c r="P150" s="14">
        <f>M150-J150</f>
        <v>524940</v>
      </c>
      <c r="Q150" s="4" t="b">
        <f>AND(N150&lt;&gt;0,O150&lt;&gt;0)</f>
        <v>1</v>
      </c>
      <c r="R150" s="4" t="b">
        <f>P150&lt;&gt;0</f>
        <v>1</v>
      </c>
    </row>
    <row r="151" spans="2:18" ht="18" thickBot="1" x14ac:dyDescent="0.45">
      <c r="B151" s="33" t="s">
        <v>505</v>
      </c>
      <c r="C151" s="34" t="s">
        <v>506</v>
      </c>
      <c r="D151" s="35">
        <v>6708501071</v>
      </c>
      <c r="E151" s="4" t="str">
        <f>LEFT(D151,3)</f>
        <v>670</v>
      </c>
      <c r="F151" s="4" t="str">
        <f>MID(D151,4,2)</f>
        <v>85</v>
      </c>
      <c r="G151" s="4" t="str">
        <f>RIGHT(D151,5)</f>
        <v>01071</v>
      </c>
      <c r="H151" s="13">
        <f>IFERROR(VLOOKUP($B151,'SAP 금액'!$A:$C,2,0),0)</f>
        <v>0</v>
      </c>
      <c r="I151" s="13">
        <f>IFERROR(VLOOKUP($B151,'SAP 금액'!$A:$C,3,0),0)</f>
        <v>0</v>
      </c>
      <c r="J151" s="13">
        <f>IFERROR(VLOOKUP(B151,'SAP 금액'!E:F,2,0),0)</f>
        <v>0</v>
      </c>
      <c r="K151" s="13">
        <f>VLOOKUP($B151,'국세청 금액'!$A:$C,2,0)</f>
        <v>1754529</v>
      </c>
      <c r="L151" s="13">
        <f>VLOOKUP($B151,'국세청 금액'!$A:$C,3,0)</f>
        <v>175452</v>
      </c>
      <c r="M151" s="13">
        <f>VLOOKUP(B151,'국세청 금액'!A:F,6,0)</f>
        <v>0</v>
      </c>
      <c r="N151" s="14">
        <f>K151-H151</f>
        <v>1754529</v>
      </c>
      <c r="O151" s="14">
        <f>L151-I151</f>
        <v>175452</v>
      </c>
      <c r="P151" s="14">
        <f>M151-J151</f>
        <v>0</v>
      </c>
      <c r="Q151" s="4" t="b">
        <f>AND(N151&lt;&gt;0,O151&lt;&gt;0)</f>
        <v>1</v>
      </c>
      <c r="R151" s="4" t="b">
        <f>P151&lt;&gt;0</f>
        <v>0</v>
      </c>
    </row>
    <row r="152" spans="2:18" ht="18" thickBot="1" x14ac:dyDescent="0.45">
      <c r="B152" s="33" t="s">
        <v>507</v>
      </c>
      <c r="C152" s="34" t="s">
        <v>508</v>
      </c>
      <c r="D152" s="35">
        <v>3048511783</v>
      </c>
      <c r="E152" s="4" t="str">
        <f>LEFT(D152,3)</f>
        <v>304</v>
      </c>
      <c r="F152" s="4" t="str">
        <f>MID(D152,4,2)</f>
        <v>85</v>
      </c>
      <c r="G152" s="4" t="str">
        <f>RIGHT(D152,5)</f>
        <v>11783</v>
      </c>
      <c r="H152" s="13">
        <f>IFERROR(VLOOKUP($B152,'SAP 금액'!$A:$C,2,0),0)</f>
        <v>0</v>
      </c>
      <c r="I152" s="13">
        <f>IFERROR(VLOOKUP($B152,'SAP 금액'!$A:$C,3,0),0)</f>
        <v>0</v>
      </c>
      <c r="J152" s="13">
        <f>IFERROR(VLOOKUP(B152,'SAP 금액'!E:F,2,0),0)</f>
        <v>0</v>
      </c>
      <c r="K152" s="13">
        <f>VLOOKUP($B152,'국세청 금액'!$A:$C,2,0)</f>
        <v>13377735</v>
      </c>
      <c r="L152" s="13">
        <f>VLOOKUP($B152,'국세청 금액'!$A:$C,3,0)</f>
        <v>1337773</v>
      </c>
      <c r="M152" s="13">
        <f>VLOOKUP(B152,'국세청 금액'!A:F,6,0)</f>
        <v>0</v>
      </c>
      <c r="N152" s="14">
        <f>K152-H152</f>
        <v>13377735</v>
      </c>
      <c r="O152" s="14">
        <f>L152-I152</f>
        <v>1337773</v>
      </c>
      <c r="P152" s="14">
        <f>M152-J152</f>
        <v>0</v>
      </c>
      <c r="Q152" s="4" t="b">
        <f>AND(N152&lt;&gt;0,O152&lt;&gt;0)</f>
        <v>1</v>
      </c>
      <c r="R152" s="4" t="b">
        <f>P152&lt;&gt;0</f>
        <v>0</v>
      </c>
    </row>
    <row r="153" spans="2:18" ht="18" thickBot="1" x14ac:dyDescent="0.45">
      <c r="B153" s="33" t="s">
        <v>509</v>
      </c>
      <c r="C153" s="34" t="s">
        <v>510</v>
      </c>
      <c r="D153" s="35">
        <v>1828501249</v>
      </c>
      <c r="E153" s="4" t="str">
        <f>LEFT(D153,3)</f>
        <v>182</v>
      </c>
      <c r="F153" s="4" t="str">
        <f>MID(D153,4,2)</f>
        <v>85</v>
      </c>
      <c r="G153" s="4" t="str">
        <f>RIGHT(D153,5)</f>
        <v>01249</v>
      </c>
      <c r="H153" s="13">
        <f>IFERROR(VLOOKUP($B153,'SAP 금액'!$A:$C,2,0),0)</f>
        <v>0</v>
      </c>
      <c r="I153" s="13">
        <f>IFERROR(VLOOKUP($B153,'SAP 금액'!$A:$C,3,0),0)</f>
        <v>0</v>
      </c>
      <c r="J153" s="13">
        <f>IFERROR(VLOOKUP(B153,'SAP 금액'!E:F,2,0),0)</f>
        <v>0</v>
      </c>
      <c r="K153" s="13">
        <f>VLOOKUP($B153,'국세청 금액'!$A:$C,2,0)</f>
        <v>150491339</v>
      </c>
      <c r="L153" s="13">
        <f>VLOOKUP($B153,'국세청 금액'!$A:$C,3,0)</f>
        <v>15048970</v>
      </c>
      <c r="M153" s="13">
        <f>VLOOKUP(B153,'국세청 금액'!A:F,6,0)</f>
        <v>2281400</v>
      </c>
      <c r="N153" s="14">
        <f>K153-H153</f>
        <v>150491339</v>
      </c>
      <c r="O153" s="14">
        <f>L153-I153</f>
        <v>15048970</v>
      </c>
      <c r="P153" s="14">
        <f>M153-J153</f>
        <v>2281400</v>
      </c>
      <c r="Q153" s="4" t="b">
        <f>AND(N153&lt;&gt;0,O153&lt;&gt;0)</f>
        <v>1</v>
      </c>
      <c r="R153" s="4" t="b">
        <f>P153&lt;&gt;0</f>
        <v>1</v>
      </c>
    </row>
    <row r="154" spans="2:18" ht="18" thickBot="1" x14ac:dyDescent="0.45">
      <c r="B154" s="33" t="s">
        <v>511</v>
      </c>
      <c r="C154" s="34" t="s">
        <v>512</v>
      </c>
      <c r="D154" s="35">
        <v>1788501139</v>
      </c>
      <c r="E154" s="4" t="str">
        <f>LEFT(D154,3)</f>
        <v>178</v>
      </c>
      <c r="F154" s="4" t="str">
        <f>MID(D154,4,2)</f>
        <v>85</v>
      </c>
      <c r="G154" s="4" t="str">
        <f>RIGHT(D154,5)</f>
        <v>01139</v>
      </c>
      <c r="H154" s="13">
        <f>IFERROR(VLOOKUP($B154,'SAP 금액'!$A:$C,2,0),0)</f>
        <v>0</v>
      </c>
      <c r="I154" s="13">
        <f>IFERROR(VLOOKUP($B154,'SAP 금액'!$A:$C,3,0),0)</f>
        <v>0</v>
      </c>
      <c r="J154" s="13">
        <f>IFERROR(VLOOKUP(B154,'SAP 금액'!E:F,2,0),0)</f>
        <v>0</v>
      </c>
      <c r="K154" s="13">
        <f>VLOOKUP($B154,'국세청 금액'!$A:$C,2,0)</f>
        <v>28851349</v>
      </c>
      <c r="L154" s="13">
        <f>VLOOKUP($B154,'국세청 금액'!$A:$C,3,0)</f>
        <v>2885126</v>
      </c>
      <c r="M154" s="13">
        <f>VLOOKUP(B154,'국세청 금액'!A:F,6,0)</f>
        <v>1315800</v>
      </c>
      <c r="N154" s="14">
        <f>K154-H154</f>
        <v>28851349</v>
      </c>
      <c r="O154" s="14">
        <f>L154-I154</f>
        <v>2885126</v>
      </c>
      <c r="P154" s="14">
        <f>M154-J154</f>
        <v>1315800</v>
      </c>
      <c r="Q154" s="4" t="b">
        <f>AND(N154&lt;&gt;0,O154&lt;&gt;0)</f>
        <v>1</v>
      </c>
      <c r="R154" s="4" t="b">
        <f>P154&lt;&gt;0</f>
        <v>1</v>
      </c>
    </row>
    <row r="155" spans="2:18" ht="18" thickBot="1" x14ac:dyDescent="0.45">
      <c r="B155" s="33" t="s">
        <v>513</v>
      </c>
      <c r="C155" s="34" t="s">
        <v>514</v>
      </c>
      <c r="D155" s="35">
        <v>3528501023</v>
      </c>
      <c r="E155" s="4" t="str">
        <f>LEFT(D155,3)</f>
        <v>352</v>
      </c>
      <c r="F155" s="4" t="str">
        <f>MID(D155,4,2)</f>
        <v>85</v>
      </c>
      <c r="G155" s="4" t="str">
        <f>RIGHT(D155,5)</f>
        <v>01023</v>
      </c>
      <c r="H155" s="13">
        <f>IFERROR(VLOOKUP($B155,'SAP 금액'!$A:$C,2,0),0)</f>
        <v>0</v>
      </c>
      <c r="I155" s="13">
        <f>IFERROR(VLOOKUP($B155,'SAP 금액'!$A:$C,3,0),0)</f>
        <v>0</v>
      </c>
      <c r="J155" s="13">
        <f>IFERROR(VLOOKUP(B155,'SAP 금액'!E:F,2,0),0)</f>
        <v>0</v>
      </c>
      <c r="K155" s="13">
        <f>VLOOKUP($B155,'국세청 금액'!$A:$C,2,0)</f>
        <v>133790023</v>
      </c>
      <c r="L155" s="13">
        <f>VLOOKUP($B155,'국세청 금액'!$A:$C,3,0)</f>
        <v>13378915</v>
      </c>
      <c r="M155" s="13">
        <f>VLOOKUP(B155,'국세청 금액'!A:F,6,0)</f>
        <v>0</v>
      </c>
      <c r="N155" s="14">
        <f>K155-H155</f>
        <v>133790023</v>
      </c>
      <c r="O155" s="14">
        <f>L155-I155</f>
        <v>13378915</v>
      </c>
      <c r="P155" s="14">
        <f>M155-J155</f>
        <v>0</v>
      </c>
      <c r="Q155" s="4" t="b">
        <f>AND(N155&lt;&gt;0,O155&lt;&gt;0)</f>
        <v>1</v>
      </c>
      <c r="R155" s="4" t="b">
        <f>P155&lt;&gt;0</f>
        <v>0</v>
      </c>
    </row>
    <row r="156" spans="2:18" ht="18" thickBot="1" x14ac:dyDescent="0.45">
      <c r="B156" s="33" t="s">
        <v>515</v>
      </c>
      <c r="C156" s="34" t="s">
        <v>516</v>
      </c>
      <c r="D156" s="35">
        <v>1958501231</v>
      </c>
      <c r="E156" s="4" t="str">
        <f>LEFT(D156,3)</f>
        <v>195</v>
      </c>
      <c r="F156" s="4" t="str">
        <f>MID(D156,4,2)</f>
        <v>85</v>
      </c>
      <c r="G156" s="4" t="str">
        <f>RIGHT(D156,5)</f>
        <v>01231</v>
      </c>
      <c r="H156" s="13">
        <f>IFERROR(VLOOKUP($B156,'SAP 금액'!$A:$C,2,0),0)</f>
        <v>0</v>
      </c>
      <c r="I156" s="13">
        <f>IFERROR(VLOOKUP($B156,'SAP 금액'!$A:$C,3,0),0)</f>
        <v>0</v>
      </c>
      <c r="J156" s="13">
        <f>IFERROR(VLOOKUP(B156,'SAP 금액'!E:F,2,0),0)</f>
        <v>0</v>
      </c>
      <c r="K156" s="13">
        <f>VLOOKUP($B156,'국세청 금액'!$A:$C,2,0)</f>
        <v>63507831</v>
      </c>
      <c r="L156" s="13">
        <f>VLOOKUP($B156,'국세청 금액'!$A:$C,3,0)</f>
        <v>6350565</v>
      </c>
      <c r="M156" s="13">
        <f>VLOOKUP(B156,'국세청 금액'!A:F,6,0)</f>
        <v>0</v>
      </c>
      <c r="N156" s="14">
        <f>K156-H156</f>
        <v>63507831</v>
      </c>
      <c r="O156" s="14">
        <f>L156-I156</f>
        <v>6350565</v>
      </c>
      <c r="P156" s="14">
        <f>M156-J156</f>
        <v>0</v>
      </c>
      <c r="Q156" s="4" t="b">
        <f>AND(N156&lt;&gt;0,O156&lt;&gt;0)</f>
        <v>1</v>
      </c>
      <c r="R156" s="4" t="b">
        <f>P156&lt;&gt;0</f>
        <v>0</v>
      </c>
    </row>
    <row r="157" spans="2:18" ht="18" thickBot="1" x14ac:dyDescent="0.45">
      <c r="B157" s="33" t="s">
        <v>517</v>
      </c>
      <c r="C157" s="34" t="s">
        <v>518</v>
      </c>
      <c r="D157" s="35">
        <v>3738501224</v>
      </c>
      <c r="E157" s="4" t="str">
        <f>LEFT(D157,3)</f>
        <v>373</v>
      </c>
      <c r="F157" s="4" t="str">
        <f>MID(D157,4,2)</f>
        <v>85</v>
      </c>
      <c r="G157" s="4" t="str">
        <f>RIGHT(D157,5)</f>
        <v>01224</v>
      </c>
      <c r="H157" s="13">
        <f>IFERROR(VLOOKUP($B157,'SAP 금액'!$A:$C,2,0),0)</f>
        <v>0</v>
      </c>
      <c r="I157" s="13">
        <f>IFERROR(VLOOKUP($B157,'SAP 금액'!$A:$C,3,0),0)</f>
        <v>0</v>
      </c>
      <c r="J157" s="13">
        <f>IFERROR(VLOOKUP(B157,'SAP 금액'!E:F,2,0),0)</f>
        <v>0</v>
      </c>
      <c r="K157" s="13">
        <f>VLOOKUP($B157,'국세청 금액'!$A:$C,2,0)</f>
        <v>114884554</v>
      </c>
      <c r="L157" s="13">
        <f>VLOOKUP($B157,'국세청 금액'!$A:$C,3,0)</f>
        <v>11488170</v>
      </c>
      <c r="M157" s="13">
        <f>VLOOKUP(B157,'국세청 금액'!A:F,6,0)</f>
        <v>0</v>
      </c>
      <c r="N157" s="14">
        <f>K157-H157</f>
        <v>114884554</v>
      </c>
      <c r="O157" s="14">
        <f>L157-I157</f>
        <v>11488170</v>
      </c>
      <c r="P157" s="14">
        <f>M157-J157</f>
        <v>0</v>
      </c>
      <c r="Q157" s="4" t="b">
        <f>AND(N157&lt;&gt;0,O157&lt;&gt;0)</f>
        <v>1</v>
      </c>
      <c r="R157" s="4" t="b">
        <f>P157&lt;&gt;0</f>
        <v>0</v>
      </c>
    </row>
    <row r="158" spans="2:18" ht="18" thickBot="1" x14ac:dyDescent="0.45">
      <c r="B158" s="33" t="s">
        <v>519</v>
      </c>
      <c r="C158" s="34" t="s">
        <v>520</v>
      </c>
      <c r="D158" s="35">
        <v>5458501265</v>
      </c>
      <c r="E158" s="4" t="str">
        <f>LEFT(D158,3)</f>
        <v>545</v>
      </c>
      <c r="F158" s="4" t="str">
        <f>MID(D158,4,2)</f>
        <v>85</v>
      </c>
      <c r="G158" s="4" t="str">
        <f>RIGHT(D158,5)</f>
        <v>01265</v>
      </c>
      <c r="H158" s="13">
        <f>IFERROR(VLOOKUP($B158,'SAP 금액'!$A:$C,2,0),0)</f>
        <v>0</v>
      </c>
      <c r="I158" s="13">
        <f>IFERROR(VLOOKUP($B158,'SAP 금액'!$A:$C,3,0),0)</f>
        <v>0</v>
      </c>
      <c r="J158" s="13">
        <f>IFERROR(VLOOKUP(B158,'SAP 금액'!E:F,2,0),0)</f>
        <v>0</v>
      </c>
      <c r="K158" s="13">
        <f>VLOOKUP($B158,'국세청 금액'!$A:$C,2,0)</f>
        <v>53901355</v>
      </c>
      <c r="L158" s="13">
        <f>VLOOKUP($B158,'국세청 금액'!$A:$C,3,0)</f>
        <v>5390134</v>
      </c>
      <c r="M158" s="13">
        <f>VLOOKUP(B158,'국세청 금액'!A:F,6,0)</f>
        <v>2311424</v>
      </c>
      <c r="N158" s="14">
        <f>K158-H158</f>
        <v>53901355</v>
      </c>
      <c r="O158" s="14">
        <f>L158-I158</f>
        <v>5390134</v>
      </c>
      <c r="P158" s="14">
        <f>M158-J158</f>
        <v>2311424</v>
      </c>
      <c r="Q158" s="4" t="b">
        <f>AND(N158&lt;&gt;0,O158&lt;&gt;0)</f>
        <v>1</v>
      </c>
      <c r="R158" s="4" t="b">
        <f>P158&lt;&gt;0</f>
        <v>1</v>
      </c>
    </row>
    <row r="159" spans="2:18" ht="18" thickBot="1" x14ac:dyDescent="0.45">
      <c r="B159" s="33" t="s">
        <v>521</v>
      </c>
      <c r="C159" s="34" t="s">
        <v>522</v>
      </c>
      <c r="D159" s="35">
        <v>5868501344</v>
      </c>
      <c r="E159" s="4" t="str">
        <f>LEFT(D159,3)</f>
        <v>586</v>
      </c>
      <c r="F159" s="4" t="str">
        <f>MID(D159,4,2)</f>
        <v>85</v>
      </c>
      <c r="G159" s="4" t="str">
        <f>RIGHT(D159,5)</f>
        <v>01344</v>
      </c>
      <c r="H159" s="13">
        <f>IFERROR(VLOOKUP($B159,'SAP 금액'!$A:$C,2,0),0)</f>
        <v>0</v>
      </c>
      <c r="I159" s="13">
        <f>IFERROR(VLOOKUP($B159,'SAP 금액'!$A:$C,3,0),0)</f>
        <v>0</v>
      </c>
      <c r="J159" s="13">
        <f>IFERROR(VLOOKUP(B159,'SAP 금액'!E:F,2,0),0)</f>
        <v>0</v>
      </c>
      <c r="K159" s="13">
        <f>VLOOKUP($B159,'국세청 금액'!$A:$C,2,0)</f>
        <v>156282969</v>
      </c>
      <c r="L159" s="13">
        <f>VLOOKUP($B159,'국세청 금액'!$A:$C,3,0)</f>
        <v>15628019</v>
      </c>
      <c r="M159" s="13">
        <f>VLOOKUP(B159,'국세청 금액'!A:F,6,0)</f>
        <v>0</v>
      </c>
      <c r="N159" s="14">
        <f>K159-H159</f>
        <v>156282969</v>
      </c>
      <c r="O159" s="14">
        <f>L159-I159</f>
        <v>15628019</v>
      </c>
      <c r="P159" s="14">
        <f>M159-J159</f>
        <v>0</v>
      </c>
      <c r="Q159" s="4" t="b">
        <f>AND(N159&lt;&gt;0,O159&lt;&gt;0)</f>
        <v>1</v>
      </c>
      <c r="R159" s="4" t="b">
        <f>P159&lt;&gt;0</f>
        <v>0</v>
      </c>
    </row>
    <row r="160" spans="2:18" ht="18" thickBot="1" x14ac:dyDescent="0.45">
      <c r="B160" s="33" t="s">
        <v>523</v>
      </c>
      <c r="C160" s="34" t="s">
        <v>524</v>
      </c>
      <c r="D160" s="35">
        <v>6458501134</v>
      </c>
      <c r="E160" s="4" t="str">
        <f>LEFT(D160,3)</f>
        <v>645</v>
      </c>
      <c r="F160" s="4" t="str">
        <f>MID(D160,4,2)</f>
        <v>85</v>
      </c>
      <c r="G160" s="4" t="str">
        <f>RIGHT(D160,5)</f>
        <v>01134</v>
      </c>
      <c r="H160" s="13">
        <f>IFERROR(VLOOKUP($B160,'SAP 금액'!$A:$C,2,0),0)</f>
        <v>0</v>
      </c>
      <c r="I160" s="13">
        <f>IFERROR(VLOOKUP($B160,'SAP 금액'!$A:$C,3,0),0)</f>
        <v>0</v>
      </c>
      <c r="J160" s="13">
        <f>IFERROR(VLOOKUP(B160,'SAP 금액'!E:F,2,0),0)</f>
        <v>0</v>
      </c>
      <c r="K160" s="13">
        <f>VLOOKUP($B160,'국세청 금액'!$A:$C,2,0)</f>
        <v>123307678</v>
      </c>
      <c r="L160" s="13">
        <f>VLOOKUP($B160,'국세청 금액'!$A:$C,3,0)</f>
        <v>12330475</v>
      </c>
      <c r="M160" s="13">
        <f>VLOOKUP(B160,'국세청 금액'!A:F,6,0)</f>
        <v>2470753</v>
      </c>
      <c r="N160" s="14">
        <f>K160-H160</f>
        <v>123307678</v>
      </c>
      <c r="O160" s="14">
        <f>L160-I160</f>
        <v>12330475</v>
      </c>
      <c r="P160" s="14">
        <f>M160-J160</f>
        <v>2470753</v>
      </c>
      <c r="Q160" s="4" t="b">
        <f>AND(N160&lt;&gt;0,O160&lt;&gt;0)</f>
        <v>1</v>
      </c>
      <c r="R160" s="4" t="b">
        <f>P160&lt;&gt;0</f>
        <v>1</v>
      </c>
    </row>
    <row r="161" spans="2:18" ht="18" thickBot="1" x14ac:dyDescent="0.45">
      <c r="B161" s="33" t="s">
        <v>525</v>
      </c>
      <c r="C161" s="34" t="s">
        <v>526</v>
      </c>
      <c r="D161" s="35">
        <v>4178516314</v>
      </c>
      <c r="E161" s="4" t="str">
        <f>LEFT(D161,3)</f>
        <v>417</v>
      </c>
      <c r="F161" s="4" t="str">
        <f>MID(D161,4,2)</f>
        <v>85</v>
      </c>
      <c r="G161" s="4" t="str">
        <f>RIGHT(D161,5)</f>
        <v>16314</v>
      </c>
      <c r="H161" s="13">
        <f>IFERROR(VLOOKUP($B161,'SAP 금액'!$A:$C,2,0),0)</f>
        <v>0</v>
      </c>
      <c r="I161" s="13">
        <f>IFERROR(VLOOKUP($B161,'SAP 금액'!$A:$C,3,0),0)</f>
        <v>0</v>
      </c>
      <c r="J161" s="13">
        <f>IFERROR(VLOOKUP(B161,'SAP 금액'!E:F,2,0),0)</f>
        <v>0</v>
      </c>
      <c r="K161" s="13">
        <f>VLOOKUP($B161,'국세청 금액'!$A:$C,2,0)</f>
        <v>113195676</v>
      </c>
      <c r="L161" s="13">
        <f>VLOOKUP($B161,'국세청 금액'!$A:$C,3,0)</f>
        <v>11319299</v>
      </c>
      <c r="M161" s="13">
        <f>VLOOKUP(B161,'국세청 금액'!A:F,6,0)</f>
        <v>12641339</v>
      </c>
      <c r="N161" s="14">
        <f>K161-H161</f>
        <v>113195676</v>
      </c>
      <c r="O161" s="14">
        <f>L161-I161</f>
        <v>11319299</v>
      </c>
      <c r="P161" s="14">
        <f>M161-J161</f>
        <v>12641339</v>
      </c>
      <c r="Q161" s="4" t="b">
        <f>AND(N161&lt;&gt;0,O161&lt;&gt;0)</f>
        <v>1</v>
      </c>
      <c r="R161" s="4" t="b">
        <f>P161&lt;&gt;0</f>
        <v>1</v>
      </c>
    </row>
    <row r="162" spans="2:18" ht="18" thickBot="1" x14ac:dyDescent="0.45">
      <c r="B162" s="33" t="s">
        <v>527</v>
      </c>
      <c r="C162" s="34" t="s">
        <v>528</v>
      </c>
      <c r="D162" s="35">
        <v>2188505199</v>
      </c>
      <c r="E162" s="4" t="str">
        <f>LEFT(D162,3)</f>
        <v>218</v>
      </c>
      <c r="F162" s="4" t="str">
        <f>MID(D162,4,2)</f>
        <v>85</v>
      </c>
      <c r="G162" s="4" t="str">
        <f>RIGHT(D162,5)</f>
        <v>05199</v>
      </c>
      <c r="H162" s="13">
        <f>IFERROR(VLOOKUP($B162,'SAP 금액'!$A:$C,2,0),0)</f>
        <v>0</v>
      </c>
      <c r="I162" s="13">
        <f>IFERROR(VLOOKUP($B162,'SAP 금액'!$A:$C,3,0),0)</f>
        <v>0</v>
      </c>
      <c r="J162" s="13">
        <f>IFERROR(VLOOKUP(B162,'SAP 금액'!E:F,2,0),0)</f>
        <v>0</v>
      </c>
      <c r="K162" s="13">
        <f>VLOOKUP($B162,'국세청 금액'!$A:$C,2,0)</f>
        <v>101025667</v>
      </c>
      <c r="L162" s="13">
        <f>VLOOKUP($B162,'국세청 금액'!$A:$C,3,0)</f>
        <v>10102565</v>
      </c>
      <c r="M162" s="13">
        <f>VLOOKUP(B162,'국세청 금액'!A:F,6,0)</f>
        <v>251177</v>
      </c>
      <c r="N162" s="14">
        <f>K162-H162</f>
        <v>101025667</v>
      </c>
      <c r="O162" s="14">
        <f>L162-I162</f>
        <v>10102565</v>
      </c>
      <c r="P162" s="14">
        <f>M162-J162</f>
        <v>251177</v>
      </c>
      <c r="Q162" s="4" t="b">
        <f>AND(N162&lt;&gt;0,O162&lt;&gt;0)</f>
        <v>1</v>
      </c>
      <c r="R162" s="4" t="b">
        <f>P162&lt;&gt;0</f>
        <v>1</v>
      </c>
    </row>
    <row r="163" spans="2:18" ht="18" thickBot="1" x14ac:dyDescent="0.45">
      <c r="B163" s="33" t="s">
        <v>529</v>
      </c>
      <c r="C163" s="34" t="s">
        <v>530</v>
      </c>
      <c r="D163" s="35">
        <v>1188505695</v>
      </c>
      <c r="E163" s="4" t="str">
        <f>LEFT(D163,3)</f>
        <v>118</v>
      </c>
      <c r="F163" s="4" t="str">
        <f>MID(D163,4,2)</f>
        <v>85</v>
      </c>
      <c r="G163" s="4" t="str">
        <f>RIGHT(D163,5)</f>
        <v>05695</v>
      </c>
      <c r="H163" s="13">
        <f>IFERROR(VLOOKUP($B163,'SAP 금액'!$A:$C,2,0),0)</f>
        <v>0</v>
      </c>
      <c r="I163" s="13">
        <f>IFERROR(VLOOKUP($B163,'SAP 금액'!$A:$C,3,0),0)</f>
        <v>0</v>
      </c>
      <c r="J163" s="13">
        <f>IFERROR(VLOOKUP(B163,'SAP 금액'!E:F,2,0),0)</f>
        <v>0</v>
      </c>
      <c r="K163" s="13">
        <f>VLOOKUP($B163,'국세청 금액'!$A:$C,2,0)</f>
        <v>87476737</v>
      </c>
      <c r="L163" s="13">
        <f>VLOOKUP($B163,'국세청 금액'!$A:$C,3,0)</f>
        <v>8747410</v>
      </c>
      <c r="M163" s="13">
        <f>VLOOKUP(B163,'국세청 금액'!A:F,6,0)</f>
        <v>3824082</v>
      </c>
      <c r="N163" s="14">
        <f>K163-H163</f>
        <v>87476737</v>
      </c>
      <c r="O163" s="14">
        <f>L163-I163</f>
        <v>8747410</v>
      </c>
      <c r="P163" s="14">
        <f>M163-J163</f>
        <v>3824082</v>
      </c>
      <c r="Q163" s="4" t="b">
        <f>AND(N163&lt;&gt;0,O163&lt;&gt;0)</f>
        <v>1</v>
      </c>
      <c r="R163" s="4" t="b">
        <f>P163&lt;&gt;0</f>
        <v>1</v>
      </c>
    </row>
    <row r="164" spans="2:18" ht="18" thickBot="1" x14ac:dyDescent="0.45">
      <c r="B164" s="36" t="s">
        <v>531</v>
      </c>
      <c r="C164" s="37" t="s">
        <v>532</v>
      </c>
      <c r="D164" s="38">
        <v>2028505194</v>
      </c>
      <c r="E164" s="4" t="str">
        <f>LEFT(D164,3)</f>
        <v>202</v>
      </c>
      <c r="F164" s="4" t="str">
        <f>MID(D164,4,2)</f>
        <v>85</v>
      </c>
      <c r="G164" s="4" t="str">
        <f>RIGHT(D164,5)</f>
        <v>05194</v>
      </c>
      <c r="H164" s="13">
        <f>IFERROR(VLOOKUP($B164,'SAP 금액'!$A:$C,2,0),0)</f>
        <v>0</v>
      </c>
      <c r="I164" s="13">
        <f>IFERROR(VLOOKUP($B164,'SAP 금액'!$A:$C,3,0),0)</f>
        <v>0</v>
      </c>
      <c r="J164" s="13">
        <f>IFERROR(VLOOKUP(B164,'SAP 금액'!E:F,2,0),0)</f>
        <v>0</v>
      </c>
      <c r="K164" s="13">
        <f>VLOOKUP($B164,'국세청 금액'!$A:$C,2,0)</f>
        <v>63349938</v>
      </c>
      <c r="L164" s="13">
        <f>VLOOKUP($B164,'국세청 금액'!$A:$C,3,0)</f>
        <v>6334153</v>
      </c>
      <c r="M164" s="13">
        <f>VLOOKUP(B164,'국세청 금액'!A:F,6,0)</f>
        <v>0</v>
      </c>
      <c r="N164" s="14">
        <f>K164-H164</f>
        <v>63349938</v>
      </c>
      <c r="O164" s="14">
        <f>L164-I164</f>
        <v>6334153</v>
      </c>
      <c r="P164" s="14">
        <f>M164-J164</f>
        <v>0</v>
      </c>
      <c r="Q164" s="4" t="b">
        <f>AND(N164&lt;&gt;0,O164&lt;&gt;0)</f>
        <v>1</v>
      </c>
      <c r="R164" s="4" t="b">
        <f>P164&lt;&gt;0</f>
        <v>0</v>
      </c>
    </row>
    <row r="165" spans="2:18" ht="18" thickBot="1" x14ac:dyDescent="0.45">
      <c r="B165" s="36" t="s">
        <v>533</v>
      </c>
      <c r="C165" s="37" t="s">
        <v>534</v>
      </c>
      <c r="D165" s="38">
        <v>5218501105</v>
      </c>
      <c r="E165" s="4" t="str">
        <f>LEFT(D165,3)</f>
        <v>521</v>
      </c>
      <c r="F165" s="4" t="str">
        <f>MID(D165,4,2)</f>
        <v>85</v>
      </c>
      <c r="G165" s="4" t="str">
        <f>RIGHT(D165,5)</f>
        <v>01105</v>
      </c>
      <c r="H165" s="13">
        <f>IFERROR(VLOOKUP($B165,'SAP 금액'!$A:$C,2,0),0)</f>
        <v>0</v>
      </c>
      <c r="I165" s="13">
        <f>IFERROR(VLOOKUP($B165,'SAP 금액'!$A:$C,3,0),0)</f>
        <v>0</v>
      </c>
      <c r="J165" s="13">
        <f>IFERROR(VLOOKUP(B165,'SAP 금액'!E:F,2,0),0)</f>
        <v>0</v>
      </c>
      <c r="K165" s="13">
        <f>VLOOKUP($B165,'국세청 금액'!$A:$C,2,0)</f>
        <v>115060172</v>
      </c>
      <c r="L165" s="13">
        <f>VLOOKUP($B165,'국세청 금액'!$A:$C,3,0)</f>
        <v>11506012</v>
      </c>
      <c r="M165" s="13">
        <f>VLOOKUP(B165,'국세청 금액'!A:F,6,0)</f>
        <v>512729</v>
      </c>
      <c r="N165" s="14">
        <f>K165-H165</f>
        <v>115060172</v>
      </c>
      <c r="O165" s="14">
        <f>L165-I165</f>
        <v>11506012</v>
      </c>
      <c r="P165" s="14">
        <f>M165-J165</f>
        <v>512729</v>
      </c>
      <c r="Q165" s="4" t="b">
        <f>AND(N165&lt;&gt;0,O165&lt;&gt;0)</f>
        <v>1</v>
      </c>
      <c r="R165" s="4" t="b">
        <f>P165&lt;&gt;0</f>
        <v>1</v>
      </c>
    </row>
    <row r="166" spans="2:18" ht="18" thickBot="1" x14ac:dyDescent="0.45">
      <c r="B166" s="36" t="s">
        <v>535</v>
      </c>
      <c r="C166" s="37" t="s">
        <v>536</v>
      </c>
      <c r="D166" s="38">
        <v>5598501323</v>
      </c>
      <c r="E166" s="4" t="str">
        <f>LEFT(D166,3)</f>
        <v>559</v>
      </c>
      <c r="F166" s="4" t="str">
        <f>MID(D166,4,2)</f>
        <v>85</v>
      </c>
      <c r="G166" s="4" t="str">
        <f>RIGHT(D166,5)</f>
        <v>01323</v>
      </c>
      <c r="H166" s="13">
        <f>IFERROR(VLOOKUP($B166,'SAP 금액'!$A:$C,2,0),0)</f>
        <v>0</v>
      </c>
      <c r="I166" s="13">
        <f>IFERROR(VLOOKUP($B166,'SAP 금액'!$A:$C,3,0),0)</f>
        <v>0</v>
      </c>
      <c r="J166" s="13">
        <f>IFERROR(VLOOKUP(B166,'SAP 금액'!E:F,2,0),0)</f>
        <v>0</v>
      </c>
      <c r="K166" s="13">
        <f>VLOOKUP($B166,'국세청 금액'!$A:$C,2,0)</f>
        <v>64513221</v>
      </c>
      <c r="L166" s="13">
        <f>VLOOKUP($B166,'국세청 금액'!$A:$C,3,0)</f>
        <v>6451319</v>
      </c>
      <c r="M166" s="13">
        <f>VLOOKUP(B166,'국세청 금액'!A:F,6,0)</f>
        <v>0</v>
      </c>
      <c r="N166" s="14">
        <f>K166-H166</f>
        <v>64513221</v>
      </c>
      <c r="O166" s="14">
        <f>L166-I166</f>
        <v>6451319</v>
      </c>
      <c r="P166" s="14">
        <f>M166-J166</f>
        <v>0</v>
      </c>
      <c r="Q166" s="4" t="b">
        <f>AND(N166&lt;&gt;0,O166&lt;&gt;0)</f>
        <v>1</v>
      </c>
      <c r="R166" s="4" t="b">
        <f>P166&lt;&gt;0</f>
        <v>0</v>
      </c>
    </row>
    <row r="167" spans="2:18" ht="18" thickBot="1" x14ac:dyDescent="0.45">
      <c r="B167" s="33" t="s">
        <v>537</v>
      </c>
      <c r="C167" s="34" t="s">
        <v>538</v>
      </c>
      <c r="D167" s="35">
        <v>1698501232</v>
      </c>
      <c r="E167" s="4" t="str">
        <f>LEFT(D167,3)</f>
        <v>169</v>
      </c>
      <c r="F167" s="4" t="str">
        <f>MID(D167,4,2)</f>
        <v>85</v>
      </c>
      <c r="G167" s="4" t="str">
        <f>RIGHT(D167,5)</f>
        <v>01232</v>
      </c>
      <c r="H167" s="13">
        <f>IFERROR(VLOOKUP($B167,'SAP 금액'!$A:$C,2,0),0)</f>
        <v>0</v>
      </c>
      <c r="I167" s="13">
        <f>IFERROR(VLOOKUP($B167,'SAP 금액'!$A:$C,3,0),0)</f>
        <v>0</v>
      </c>
      <c r="J167" s="13">
        <f>IFERROR(VLOOKUP(B167,'SAP 금액'!E:F,2,0),0)</f>
        <v>0</v>
      </c>
      <c r="K167" s="13">
        <f>VLOOKUP($B167,'국세청 금액'!$A:$C,2,0)</f>
        <v>202453880</v>
      </c>
      <c r="L167" s="13">
        <f>VLOOKUP($B167,'국세청 금액'!$A:$C,3,0)</f>
        <v>20245415</v>
      </c>
      <c r="M167" s="13">
        <f>VLOOKUP(B167,'국세청 금액'!A:F,6,0)</f>
        <v>7424952</v>
      </c>
      <c r="N167" s="14">
        <f>K167-H167</f>
        <v>202453880</v>
      </c>
      <c r="O167" s="14">
        <f>L167-I167</f>
        <v>20245415</v>
      </c>
      <c r="P167" s="14">
        <f>M167-J167</f>
        <v>7424952</v>
      </c>
      <c r="Q167" s="4" t="b">
        <f>AND(N167&lt;&gt;0,O167&lt;&gt;0)</f>
        <v>1</v>
      </c>
      <c r="R167" s="4" t="b">
        <f>P167&lt;&gt;0</f>
        <v>1</v>
      </c>
    </row>
    <row r="168" spans="2:18" ht="18" thickBot="1" x14ac:dyDescent="0.45">
      <c r="B168" s="33" t="s">
        <v>539</v>
      </c>
      <c r="C168" s="34" t="s">
        <v>540</v>
      </c>
      <c r="D168" s="35">
        <v>2168505626</v>
      </c>
      <c r="E168" s="4" t="str">
        <f>LEFT(D168,3)</f>
        <v>216</v>
      </c>
      <c r="F168" s="4" t="str">
        <f>MID(D168,4,2)</f>
        <v>85</v>
      </c>
      <c r="G168" s="4" t="str">
        <f>RIGHT(D168,5)</f>
        <v>05626</v>
      </c>
      <c r="H168" s="13">
        <f>IFERROR(VLOOKUP($B168,'SAP 금액'!$A:$C,2,0),0)</f>
        <v>0</v>
      </c>
      <c r="I168" s="13">
        <f>IFERROR(VLOOKUP($B168,'SAP 금액'!$A:$C,3,0),0)</f>
        <v>0</v>
      </c>
      <c r="J168" s="13">
        <f>IFERROR(VLOOKUP(B168,'SAP 금액'!E:F,2,0),0)</f>
        <v>0</v>
      </c>
      <c r="K168" s="13">
        <f>VLOOKUP($B168,'국세청 금액'!$A:$C,2,0)</f>
        <v>25266183</v>
      </c>
      <c r="L168" s="13">
        <f>VLOOKUP($B168,'국세청 금액'!$A:$C,3,0)</f>
        <v>2526616</v>
      </c>
      <c r="M168" s="13">
        <f>VLOOKUP(B168,'국세청 금액'!A:F,6,0)</f>
        <v>0</v>
      </c>
      <c r="N168" s="14">
        <f>K168-H168</f>
        <v>25266183</v>
      </c>
      <c r="O168" s="14">
        <f>L168-I168</f>
        <v>2526616</v>
      </c>
      <c r="P168" s="14">
        <f>M168-J168</f>
        <v>0</v>
      </c>
      <c r="Q168" s="4" t="b">
        <f>AND(N168&lt;&gt;0,O168&lt;&gt;0)</f>
        <v>1</v>
      </c>
      <c r="R168" s="4" t="b">
        <f>P168&lt;&gt;0</f>
        <v>0</v>
      </c>
    </row>
    <row r="169" spans="2:18" ht="18" thickBot="1" x14ac:dyDescent="0.45">
      <c r="B169" s="33" t="s">
        <v>541</v>
      </c>
      <c r="C169" s="34" t="s">
        <v>542</v>
      </c>
      <c r="D169" s="35">
        <v>7428501060</v>
      </c>
      <c r="E169" s="4" t="str">
        <f>LEFT(D169,3)</f>
        <v>742</v>
      </c>
      <c r="F169" s="4" t="str">
        <f>MID(D169,4,2)</f>
        <v>85</v>
      </c>
      <c r="G169" s="4" t="str">
        <f>RIGHT(D169,5)</f>
        <v>01060</v>
      </c>
      <c r="H169" s="13">
        <f>IFERROR(VLOOKUP($B169,'SAP 금액'!$A:$C,2,0),0)</f>
        <v>0</v>
      </c>
      <c r="I169" s="13">
        <f>IFERROR(VLOOKUP($B169,'SAP 금액'!$A:$C,3,0),0)</f>
        <v>0</v>
      </c>
      <c r="J169" s="13">
        <f>IFERROR(VLOOKUP(B169,'SAP 금액'!E:F,2,0),0)</f>
        <v>0</v>
      </c>
      <c r="K169" s="13">
        <f>VLOOKUP($B169,'국세청 금액'!$A:$C,2,0)</f>
        <v>101545539</v>
      </c>
      <c r="L169" s="13">
        <f>VLOOKUP($B169,'국세청 금액'!$A:$C,3,0)</f>
        <v>10154702</v>
      </c>
      <c r="M169" s="13">
        <f>VLOOKUP(B169,'국세청 금액'!A:F,6,0)</f>
        <v>4847790</v>
      </c>
      <c r="N169" s="14">
        <f>K169-H169</f>
        <v>101545539</v>
      </c>
      <c r="O169" s="14">
        <f>L169-I169</f>
        <v>10154702</v>
      </c>
      <c r="P169" s="14">
        <f>M169-J169</f>
        <v>4847790</v>
      </c>
      <c r="Q169" s="4" t="b">
        <f>AND(N169&lt;&gt;0,O169&lt;&gt;0)</f>
        <v>1</v>
      </c>
      <c r="R169" s="4" t="b">
        <f>P169&lt;&gt;0</f>
        <v>1</v>
      </c>
    </row>
    <row r="170" spans="2:18" ht="18" thickBot="1" x14ac:dyDescent="0.45">
      <c r="B170" s="33" t="s">
        <v>543</v>
      </c>
      <c r="C170" s="34" t="s">
        <v>544</v>
      </c>
      <c r="D170" s="35">
        <v>7288501176</v>
      </c>
      <c r="E170" s="4" t="str">
        <f>LEFT(D170,3)</f>
        <v>728</v>
      </c>
      <c r="F170" s="4" t="str">
        <f>MID(D170,4,2)</f>
        <v>85</v>
      </c>
      <c r="G170" s="4" t="str">
        <f>RIGHT(D170,5)</f>
        <v>01176</v>
      </c>
      <c r="H170" s="13">
        <f>IFERROR(VLOOKUP($B170,'SAP 금액'!$A:$C,2,0),0)</f>
        <v>0</v>
      </c>
      <c r="I170" s="13">
        <f>IFERROR(VLOOKUP($B170,'SAP 금액'!$A:$C,3,0),0)</f>
        <v>0</v>
      </c>
      <c r="J170" s="13">
        <f>IFERROR(VLOOKUP(B170,'SAP 금액'!E:F,2,0),0)</f>
        <v>0</v>
      </c>
      <c r="K170" s="13">
        <f>VLOOKUP($B170,'국세청 금액'!$A:$C,2,0)</f>
        <v>6925059</v>
      </c>
      <c r="L170" s="13">
        <f>VLOOKUP($B170,'국세청 금액'!$A:$C,3,0)</f>
        <v>692503</v>
      </c>
      <c r="M170" s="13">
        <f>VLOOKUP(B170,'국세청 금액'!A:F,6,0)</f>
        <v>70000</v>
      </c>
      <c r="N170" s="14">
        <f>K170-H170</f>
        <v>6925059</v>
      </c>
      <c r="O170" s="14">
        <f>L170-I170</f>
        <v>692503</v>
      </c>
      <c r="P170" s="14">
        <f>M170-J170</f>
        <v>70000</v>
      </c>
      <c r="Q170" s="4" t="b">
        <f>AND(N170&lt;&gt;0,O170&lt;&gt;0)</f>
        <v>1</v>
      </c>
      <c r="R170" s="4" t="b">
        <f>P170&lt;&gt;0</f>
        <v>1</v>
      </c>
    </row>
    <row r="171" spans="2:18" ht="18" thickBot="1" x14ac:dyDescent="0.45">
      <c r="B171" s="33" t="s">
        <v>545</v>
      </c>
      <c r="C171" s="34" t="s">
        <v>546</v>
      </c>
      <c r="D171" s="35">
        <v>6518501411</v>
      </c>
      <c r="E171" s="4" t="str">
        <f>LEFT(D171,3)</f>
        <v>651</v>
      </c>
      <c r="F171" s="4" t="str">
        <f>MID(D171,4,2)</f>
        <v>85</v>
      </c>
      <c r="G171" s="4" t="str">
        <f>RIGHT(D171,5)</f>
        <v>01411</v>
      </c>
      <c r="H171" s="13">
        <f>IFERROR(VLOOKUP($B171,'SAP 금액'!$A:$C,2,0),0)</f>
        <v>0</v>
      </c>
      <c r="I171" s="13">
        <f>IFERROR(VLOOKUP($B171,'SAP 금액'!$A:$C,3,0),0)</f>
        <v>0</v>
      </c>
      <c r="J171" s="13">
        <f>IFERROR(VLOOKUP(B171,'SAP 금액'!E:F,2,0),0)</f>
        <v>0</v>
      </c>
      <c r="K171" s="13">
        <f>VLOOKUP($B171,'국세청 금액'!$A:$C,2,0)</f>
        <v>28863633</v>
      </c>
      <c r="L171" s="13">
        <f>VLOOKUP($B171,'국세청 금액'!$A:$C,3,0)</f>
        <v>2886366</v>
      </c>
      <c r="M171" s="13">
        <f>VLOOKUP(B171,'국세청 금액'!A:F,6,0)</f>
        <v>0</v>
      </c>
      <c r="N171" s="14">
        <f>K171-H171</f>
        <v>28863633</v>
      </c>
      <c r="O171" s="14">
        <f>L171-I171</f>
        <v>2886366</v>
      </c>
      <c r="P171" s="14">
        <f>M171-J171</f>
        <v>0</v>
      </c>
      <c r="Q171" s="4" t="b">
        <f>AND(N171&lt;&gt;0,O171&lt;&gt;0)</f>
        <v>1</v>
      </c>
      <c r="R171" s="4" t="b">
        <f>P171&lt;&gt;0</f>
        <v>0</v>
      </c>
    </row>
    <row r="172" spans="2:18" ht="18" thickBot="1" x14ac:dyDescent="0.45">
      <c r="B172" s="33" t="s">
        <v>547</v>
      </c>
      <c r="C172" s="34" t="s">
        <v>548</v>
      </c>
      <c r="D172" s="35">
        <v>1308569646</v>
      </c>
      <c r="E172" s="4" t="str">
        <f>LEFT(D172,3)</f>
        <v>130</v>
      </c>
      <c r="F172" s="4" t="str">
        <f>MID(D172,4,2)</f>
        <v>85</v>
      </c>
      <c r="G172" s="4" t="str">
        <f>RIGHT(D172,5)</f>
        <v>69646</v>
      </c>
      <c r="H172" s="13">
        <f>IFERROR(VLOOKUP($B172,'SAP 금액'!$A:$C,2,0),0)</f>
        <v>0</v>
      </c>
      <c r="I172" s="13">
        <f>IFERROR(VLOOKUP($B172,'SAP 금액'!$A:$C,3,0),0)</f>
        <v>0</v>
      </c>
      <c r="J172" s="13">
        <f>IFERROR(VLOOKUP(B172,'SAP 금액'!E:F,2,0),0)</f>
        <v>0</v>
      </c>
      <c r="K172" s="13">
        <f>VLOOKUP($B172,'국세청 금액'!$A:$C,2,0)</f>
        <v>29839159</v>
      </c>
      <c r="L172" s="13">
        <f>VLOOKUP($B172,'국세청 금액'!$A:$C,3,0)</f>
        <v>2983882</v>
      </c>
      <c r="M172" s="13">
        <f>VLOOKUP(B172,'국세청 금액'!A:F,6,0)</f>
        <v>0</v>
      </c>
      <c r="N172" s="14">
        <f>K172-H172</f>
        <v>29839159</v>
      </c>
      <c r="O172" s="14">
        <f>L172-I172</f>
        <v>2983882</v>
      </c>
      <c r="P172" s="14">
        <f>M172-J172</f>
        <v>0</v>
      </c>
      <c r="Q172" s="4" t="b">
        <f>AND(N172&lt;&gt;0,O172&lt;&gt;0)</f>
        <v>1</v>
      </c>
      <c r="R172" s="4" t="b">
        <f>P172&lt;&gt;0</f>
        <v>0</v>
      </c>
    </row>
    <row r="173" spans="2:18" ht="18" thickBot="1" x14ac:dyDescent="0.45">
      <c r="B173" s="33" t="s">
        <v>549</v>
      </c>
      <c r="C173" s="34" t="s">
        <v>550</v>
      </c>
      <c r="D173" s="35">
        <v>4318501011</v>
      </c>
      <c r="E173" s="4" t="str">
        <f>LEFT(D173,3)</f>
        <v>431</v>
      </c>
      <c r="F173" s="4" t="str">
        <f>MID(D173,4,2)</f>
        <v>85</v>
      </c>
      <c r="G173" s="4" t="str">
        <f>RIGHT(D173,5)</f>
        <v>01011</v>
      </c>
      <c r="H173" s="13">
        <f>IFERROR(VLOOKUP($B173,'SAP 금액'!$A:$C,2,0),0)</f>
        <v>0</v>
      </c>
      <c r="I173" s="13">
        <f>IFERROR(VLOOKUP($B173,'SAP 금액'!$A:$C,3,0),0)</f>
        <v>0</v>
      </c>
      <c r="J173" s="13">
        <f>IFERROR(VLOOKUP(B173,'SAP 금액'!E:F,2,0),0)</f>
        <v>0</v>
      </c>
      <c r="K173" s="13">
        <f>VLOOKUP($B173,'국세청 금액'!$A:$C,2,0)</f>
        <v>136555879</v>
      </c>
      <c r="L173" s="13">
        <f>VLOOKUP($B173,'국세청 금액'!$A:$C,3,0)</f>
        <v>13655457</v>
      </c>
      <c r="M173" s="13">
        <f>VLOOKUP(B173,'국세청 금액'!A:F,6,0)</f>
        <v>0</v>
      </c>
      <c r="N173" s="14">
        <f>K173-H173</f>
        <v>136555879</v>
      </c>
      <c r="O173" s="14">
        <f>L173-I173</f>
        <v>13655457</v>
      </c>
      <c r="P173" s="14">
        <f>M173-J173</f>
        <v>0</v>
      </c>
      <c r="Q173" s="4" t="b">
        <f>AND(N173&lt;&gt;0,O173&lt;&gt;0)</f>
        <v>1</v>
      </c>
      <c r="R173" s="4" t="b">
        <f>P173&lt;&gt;0</f>
        <v>0</v>
      </c>
    </row>
    <row r="174" spans="2:18" ht="18" thickBot="1" x14ac:dyDescent="0.45">
      <c r="B174" s="33" t="s">
        <v>551</v>
      </c>
      <c r="C174" s="34" t="s">
        <v>552</v>
      </c>
      <c r="D174" s="35">
        <v>1688501132</v>
      </c>
      <c r="E174" s="4" t="str">
        <f>LEFT(D174,3)</f>
        <v>168</v>
      </c>
      <c r="F174" s="4" t="str">
        <f>MID(D174,4,2)</f>
        <v>85</v>
      </c>
      <c r="G174" s="4" t="str">
        <f>RIGHT(D174,5)</f>
        <v>01132</v>
      </c>
      <c r="H174" s="13">
        <f>IFERROR(VLOOKUP($B174,'SAP 금액'!$A:$C,2,0),0)</f>
        <v>0</v>
      </c>
      <c r="I174" s="13">
        <f>IFERROR(VLOOKUP($B174,'SAP 금액'!$A:$C,3,0),0)</f>
        <v>0</v>
      </c>
      <c r="J174" s="13">
        <f>IFERROR(VLOOKUP(B174,'SAP 금액'!E:F,2,0),0)</f>
        <v>0</v>
      </c>
      <c r="K174" s="13">
        <f>VLOOKUP($B174,'국세청 금액'!$A:$C,2,0)</f>
        <v>21730765</v>
      </c>
      <c r="L174" s="13">
        <f>VLOOKUP($B174,'국세청 금액'!$A:$C,3,0)</f>
        <v>2173080</v>
      </c>
      <c r="M174" s="13">
        <f>VLOOKUP(B174,'국세청 금액'!A:F,6,0)</f>
        <v>0</v>
      </c>
      <c r="N174" s="14">
        <f>K174-H174</f>
        <v>21730765</v>
      </c>
      <c r="O174" s="14">
        <f>L174-I174</f>
        <v>2173080</v>
      </c>
      <c r="P174" s="14">
        <f>M174-J174</f>
        <v>0</v>
      </c>
      <c r="Q174" s="4" t="b">
        <f>AND(N174&lt;&gt;0,O174&lt;&gt;0)</f>
        <v>1</v>
      </c>
      <c r="R174" s="4" t="b">
        <f>P174&lt;&gt;0</f>
        <v>0</v>
      </c>
    </row>
    <row r="175" spans="2:18" ht="18" thickBot="1" x14ac:dyDescent="0.45">
      <c r="B175" s="33" t="s">
        <v>553</v>
      </c>
      <c r="C175" s="34" t="s">
        <v>554</v>
      </c>
      <c r="D175" s="35">
        <v>1758501144</v>
      </c>
      <c r="E175" s="4" t="str">
        <f>LEFT(D175,3)</f>
        <v>175</v>
      </c>
      <c r="F175" s="4" t="str">
        <f>MID(D175,4,2)</f>
        <v>85</v>
      </c>
      <c r="G175" s="4" t="str">
        <f>RIGHT(D175,5)</f>
        <v>01144</v>
      </c>
      <c r="H175" s="13">
        <f>IFERROR(VLOOKUP($B175,'SAP 금액'!$A:$C,2,0),0)</f>
        <v>0</v>
      </c>
      <c r="I175" s="13">
        <f>IFERROR(VLOOKUP($B175,'SAP 금액'!$A:$C,3,0),0)</f>
        <v>0</v>
      </c>
      <c r="J175" s="13">
        <f>IFERROR(VLOOKUP(B175,'SAP 금액'!E:F,2,0),0)</f>
        <v>0</v>
      </c>
      <c r="K175" s="13">
        <f>VLOOKUP($B175,'국세청 금액'!$A:$C,2,0)</f>
        <v>0</v>
      </c>
      <c r="L175" s="13">
        <f>VLOOKUP($B175,'국세청 금액'!$A:$C,3,0)</f>
        <v>0</v>
      </c>
      <c r="M175" s="13">
        <f>VLOOKUP(B175,'국세청 금액'!A:F,6,0)</f>
        <v>0</v>
      </c>
      <c r="N175" s="14">
        <f>K175-H175</f>
        <v>0</v>
      </c>
      <c r="O175" s="14">
        <f>L175-I175</f>
        <v>0</v>
      </c>
      <c r="P175" s="14">
        <f>M175-J175</f>
        <v>0</v>
      </c>
      <c r="Q175" s="4" t="b">
        <f>AND(N175&lt;&gt;0,O175&lt;&gt;0)</f>
        <v>0</v>
      </c>
      <c r="R175" s="4" t="b">
        <f>P175&lt;&gt;0</f>
        <v>0</v>
      </c>
    </row>
    <row r="176" spans="2:18" ht="18" thickBot="1" x14ac:dyDescent="0.45">
      <c r="B176" s="33" t="s">
        <v>555</v>
      </c>
      <c r="C176" s="34" t="s">
        <v>556</v>
      </c>
      <c r="D176" s="35">
        <v>2498501066</v>
      </c>
      <c r="E176" s="4" t="str">
        <f>LEFT(D176,3)</f>
        <v>249</v>
      </c>
      <c r="F176" s="4" t="str">
        <f>MID(D176,4,2)</f>
        <v>85</v>
      </c>
      <c r="G176" s="4" t="str">
        <f>RIGHT(D176,5)</f>
        <v>01066</v>
      </c>
      <c r="H176" s="13">
        <f>IFERROR(VLOOKUP($B176,'SAP 금액'!$A:$C,2,0),0)</f>
        <v>0</v>
      </c>
      <c r="I176" s="13">
        <f>IFERROR(VLOOKUP($B176,'SAP 금액'!$A:$C,3,0),0)</f>
        <v>0</v>
      </c>
      <c r="J176" s="13">
        <f>IFERROR(VLOOKUP(B176,'SAP 금액'!E:F,2,0),0)</f>
        <v>0</v>
      </c>
      <c r="K176" s="13">
        <f>VLOOKUP($B176,'국세청 금액'!$A:$C,2,0)</f>
        <v>0</v>
      </c>
      <c r="L176" s="13">
        <f>VLOOKUP($B176,'국세청 금액'!$A:$C,3,0)</f>
        <v>0</v>
      </c>
      <c r="M176" s="13">
        <f>VLOOKUP(B176,'국세청 금액'!A:F,6,0)</f>
        <v>0</v>
      </c>
      <c r="N176" s="14">
        <f>K176-H176</f>
        <v>0</v>
      </c>
      <c r="O176" s="14">
        <f>L176-I176</f>
        <v>0</v>
      </c>
      <c r="P176" s="14">
        <f>M176-J176</f>
        <v>0</v>
      </c>
      <c r="Q176" s="4" t="b">
        <f>AND(N176&lt;&gt;0,O176&lt;&gt;0)</f>
        <v>0</v>
      </c>
      <c r="R176" s="4" t="b">
        <f>P176&lt;&gt;0</f>
        <v>0</v>
      </c>
    </row>
    <row r="177" spans="2:18" ht="18" thickBot="1" x14ac:dyDescent="0.45">
      <c r="B177" s="33" t="s">
        <v>557</v>
      </c>
      <c r="C177" s="34" t="s">
        <v>558</v>
      </c>
      <c r="D177" s="35">
        <v>8938501276</v>
      </c>
      <c r="E177" s="4" t="str">
        <f>LEFT(D177,3)</f>
        <v>893</v>
      </c>
      <c r="F177" s="4" t="str">
        <f>MID(D177,4,2)</f>
        <v>85</v>
      </c>
      <c r="G177" s="4" t="str">
        <f>RIGHT(D177,5)</f>
        <v>01276</v>
      </c>
      <c r="H177" s="13">
        <f>IFERROR(VLOOKUP($B177,'SAP 금액'!$A:$C,2,0),0)</f>
        <v>0</v>
      </c>
      <c r="I177" s="13">
        <f>IFERROR(VLOOKUP($B177,'SAP 금액'!$A:$C,3,0),0)</f>
        <v>0</v>
      </c>
      <c r="J177" s="13">
        <f>IFERROR(VLOOKUP(B177,'SAP 금액'!E:F,2,0),0)</f>
        <v>0</v>
      </c>
      <c r="K177" s="13">
        <f>VLOOKUP($B177,'국세청 금액'!$A:$C,2,0)</f>
        <v>81263464</v>
      </c>
      <c r="L177" s="13">
        <f>VLOOKUP($B177,'국세청 금액'!$A:$C,3,0)</f>
        <v>8125656</v>
      </c>
      <c r="M177" s="13">
        <f>VLOOKUP(B177,'국세청 금액'!A:F,6,0)</f>
        <v>774850</v>
      </c>
      <c r="N177" s="14">
        <f>K177-H177</f>
        <v>81263464</v>
      </c>
      <c r="O177" s="14">
        <f>L177-I177</f>
        <v>8125656</v>
      </c>
      <c r="P177" s="14">
        <f>M177-J177</f>
        <v>774850</v>
      </c>
      <c r="Q177" s="4" t="b">
        <f>AND(N177&lt;&gt;0,O177&lt;&gt;0)</f>
        <v>1</v>
      </c>
      <c r="R177" s="4" t="b">
        <f>P177&lt;&gt;0</f>
        <v>1</v>
      </c>
    </row>
    <row r="178" spans="2:18" ht="18" thickBot="1" x14ac:dyDescent="0.45">
      <c r="B178" s="33" t="s">
        <v>559</v>
      </c>
      <c r="C178" s="34" t="s">
        <v>560</v>
      </c>
      <c r="D178" s="35">
        <v>6628501046</v>
      </c>
      <c r="E178" s="4" t="str">
        <f>LEFT(D178,3)</f>
        <v>662</v>
      </c>
      <c r="F178" s="4" t="str">
        <f>MID(D178,4,2)</f>
        <v>85</v>
      </c>
      <c r="G178" s="4" t="str">
        <f>RIGHT(D178,5)</f>
        <v>01046</v>
      </c>
      <c r="H178" s="13">
        <f>IFERROR(VLOOKUP($B178,'SAP 금액'!$A:$C,2,0),0)</f>
        <v>0</v>
      </c>
      <c r="I178" s="13">
        <f>IFERROR(VLOOKUP($B178,'SAP 금액'!$A:$C,3,0),0)</f>
        <v>0</v>
      </c>
      <c r="J178" s="13">
        <f>IFERROR(VLOOKUP(B178,'SAP 금액'!E:F,2,0),0)</f>
        <v>0</v>
      </c>
      <c r="K178" s="13">
        <f>VLOOKUP($B178,'국세청 금액'!$A:$C,2,0)</f>
        <v>218639224</v>
      </c>
      <c r="L178" s="13">
        <f>VLOOKUP($B178,'국세청 금액'!$A:$C,3,0)</f>
        <v>21863921</v>
      </c>
      <c r="M178" s="13">
        <f>VLOOKUP(B178,'국세청 금액'!A:F,6,0)</f>
        <v>2688874</v>
      </c>
      <c r="N178" s="14">
        <f>K178-H178</f>
        <v>218639224</v>
      </c>
      <c r="O178" s="14">
        <f>L178-I178</f>
        <v>21863921</v>
      </c>
      <c r="P178" s="14">
        <f>M178-J178</f>
        <v>2688874</v>
      </c>
      <c r="Q178" s="4" t="b">
        <f>AND(N178&lt;&gt;0,O178&lt;&gt;0)</f>
        <v>1</v>
      </c>
      <c r="R178" s="4" t="b">
        <f>P178&lt;&gt;0</f>
        <v>1</v>
      </c>
    </row>
    <row r="179" spans="2:18" ht="18" thickBot="1" x14ac:dyDescent="0.45">
      <c r="B179" s="33" t="s">
        <v>561</v>
      </c>
      <c r="C179" s="34" t="s">
        <v>562</v>
      </c>
      <c r="D179" s="35">
        <v>3688501125</v>
      </c>
      <c r="E179" s="4" t="str">
        <f>LEFT(D179,3)</f>
        <v>368</v>
      </c>
      <c r="F179" s="4" t="str">
        <f>MID(D179,4,2)</f>
        <v>85</v>
      </c>
      <c r="G179" s="4" t="str">
        <f>RIGHT(D179,5)</f>
        <v>01125</v>
      </c>
      <c r="H179" s="13">
        <f>IFERROR(VLOOKUP($B179,'SAP 금액'!$A:$C,2,0),0)</f>
        <v>0</v>
      </c>
      <c r="I179" s="13">
        <f>IFERROR(VLOOKUP($B179,'SAP 금액'!$A:$C,3,0),0)</f>
        <v>0</v>
      </c>
      <c r="J179" s="13">
        <f>IFERROR(VLOOKUP(B179,'SAP 금액'!E:F,2,0),0)</f>
        <v>0</v>
      </c>
      <c r="K179" s="13">
        <f>VLOOKUP($B179,'국세청 금액'!$A:$C,2,0)</f>
        <v>126380765</v>
      </c>
      <c r="L179" s="13">
        <f>VLOOKUP($B179,'국세청 금액'!$A:$C,3,0)</f>
        <v>12638074</v>
      </c>
      <c r="M179" s="13">
        <f>VLOOKUP(B179,'국세청 금액'!A:F,6,0)</f>
        <v>1306422</v>
      </c>
      <c r="N179" s="14">
        <f>K179-H179</f>
        <v>126380765</v>
      </c>
      <c r="O179" s="14">
        <f>L179-I179</f>
        <v>12638074</v>
      </c>
      <c r="P179" s="14">
        <f>M179-J179</f>
        <v>1306422</v>
      </c>
      <c r="Q179" s="4" t="b">
        <f>AND(N179&lt;&gt;0,O179&lt;&gt;0)</f>
        <v>1</v>
      </c>
      <c r="R179" s="4" t="b">
        <f>P179&lt;&gt;0</f>
        <v>1</v>
      </c>
    </row>
    <row r="180" spans="2:18" ht="18" thickBot="1" x14ac:dyDescent="0.45">
      <c r="B180" s="33" t="s">
        <v>563</v>
      </c>
      <c r="C180" s="34" t="s">
        <v>564</v>
      </c>
      <c r="D180" s="35">
        <v>1028507382</v>
      </c>
      <c r="E180" s="4" t="str">
        <f>LEFT(D180,3)</f>
        <v>102</v>
      </c>
      <c r="F180" s="4" t="str">
        <f>MID(D180,4,2)</f>
        <v>85</v>
      </c>
      <c r="G180" s="4" t="str">
        <f>RIGHT(D180,5)</f>
        <v>07382</v>
      </c>
      <c r="H180" s="13">
        <f>IFERROR(VLOOKUP($B180,'SAP 금액'!$A:$C,2,0),0)</f>
        <v>0</v>
      </c>
      <c r="I180" s="13">
        <f>IFERROR(VLOOKUP($B180,'SAP 금액'!$A:$C,3,0),0)</f>
        <v>0</v>
      </c>
      <c r="J180" s="13">
        <f>IFERROR(VLOOKUP(B180,'SAP 금액'!E:F,2,0),0)</f>
        <v>0</v>
      </c>
      <c r="K180" s="13">
        <f>VLOOKUP($B180,'국세청 금액'!$A:$C,2,0)</f>
        <v>79413247</v>
      </c>
      <c r="L180" s="13">
        <f>VLOOKUP($B180,'국세청 금액'!$A:$C,3,0)</f>
        <v>7940765</v>
      </c>
      <c r="M180" s="13">
        <f>VLOOKUP(B180,'국세청 금액'!A:F,6,0)</f>
        <v>736929</v>
      </c>
      <c r="N180" s="14">
        <f>K180-H180</f>
        <v>79413247</v>
      </c>
      <c r="O180" s="14">
        <f>L180-I180</f>
        <v>7940765</v>
      </c>
      <c r="P180" s="14">
        <f>M180-J180</f>
        <v>736929</v>
      </c>
      <c r="Q180" s="4" t="b">
        <f>AND(N180&lt;&gt;0,O180&lt;&gt;0)</f>
        <v>1</v>
      </c>
      <c r="R180" s="4" t="b">
        <f>P180&lt;&gt;0</f>
        <v>1</v>
      </c>
    </row>
    <row r="181" spans="2:18" ht="18" thickBot="1" x14ac:dyDescent="0.45">
      <c r="B181" s="33" t="s">
        <v>565</v>
      </c>
      <c r="C181" s="34" t="s">
        <v>566</v>
      </c>
      <c r="D181" s="35">
        <v>8968501159</v>
      </c>
      <c r="E181" s="4" t="str">
        <f>LEFT(D181,3)</f>
        <v>896</v>
      </c>
      <c r="F181" s="4" t="str">
        <f>MID(D181,4,2)</f>
        <v>85</v>
      </c>
      <c r="G181" s="4" t="str">
        <f>RIGHT(D181,5)</f>
        <v>01159</v>
      </c>
      <c r="H181" s="13">
        <f>IFERROR(VLOOKUP($B181,'SAP 금액'!$A:$C,2,0),0)</f>
        <v>0</v>
      </c>
      <c r="I181" s="13">
        <f>IFERROR(VLOOKUP($B181,'SAP 금액'!$A:$C,3,0),0)</f>
        <v>0</v>
      </c>
      <c r="J181" s="13">
        <f>IFERROR(VLOOKUP(B181,'SAP 금액'!E:F,2,0),0)</f>
        <v>0</v>
      </c>
      <c r="K181" s="13">
        <f>VLOOKUP($B181,'국세청 금액'!$A:$C,2,0)</f>
        <v>0</v>
      </c>
      <c r="L181" s="13">
        <f>VLOOKUP($B181,'국세청 금액'!$A:$C,3,0)</f>
        <v>0</v>
      </c>
      <c r="M181" s="13">
        <f>VLOOKUP(B181,'국세청 금액'!A:F,6,0)</f>
        <v>1353000</v>
      </c>
      <c r="N181" s="14">
        <f>K181-H181</f>
        <v>0</v>
      </c>
      <c r="O181" s="14">
        <f>L181-I181</f>
        <v>0</v>
      </c>
      <c r="P181" s="14">
        <f>M181-J181</f>
        <v>1353000</v>
      </c>
      <c r="Q181" s="4" t="b">
        <f>AND(N181&lt;&gt;0,O181&lt;&gt;0)</f>
        <v>0</v>
      </c>
      <c r="R181" s="4" t="b">
        <f>P181&lt;&gt;0</f>
        <v>1</v>
      </c>
    </row>
    <row r="182" spans="2:18" ht="18" thickBot="1" x14ac:dyDescent="0.45">
      <c r="B182" s="33" t="s">
        <v>567</v>
      </c>
      <c r="C182" s="34" t="s">
        <v>568</v>
      </c>
      <c r="D182" s="35">
        <v>5038533593</v>
      </c>
      <c r="E182" s="4" t="str">
        <f>LEFT(D182,3)</f>
        <v>503</v>
      </c>
      <c r="F182" s="4" t="str">
        <f>MID(D182,4,2)</f>
        <v>85</v>
      </c>
      <c r="G182" s="4" t="str">
        <f>RIGHT(D182,5)</f>
        <v>33593</v>
      </c>
      <c r="H182" s="13">
        <f>IFERROR(VLOOKUP($B182,'SAP 금액'!$A:$C,2,0),0)</f>
        <v>0</v>
      </c>
      <c r="I182" s="13">
        <f>IFERROR(VLOOKUP($B182,'SAP 금액'!$A:$C,3,0),0)</f>
        <v>0</v>
      </c>
      <c r="J182" s="13">
        <f>IFERROR(VLOOKUP(B182,'SAP 금액'!E:F,2,0),0)</f>
        <v>0</v>
      </c>
      <c r="K182" s="13">
        <f>VLOOKUP($B182,'국세청 금액'!$A:$C,2,0)</f>
        <v>15827730</v>
      </c>
      <c r="L182" s="13">
        <f>VLOOKUP($B182,'국세청 금액'!$A:$C,3,0)</f>
        <v>1582743</v>
      </c>
      <c r="M182" s="13">
        <f>VLOOKUP(B182,'국세청 금액'!A:F,6,0)</f>
        <v>1353000</v>
      </c>
      <c r="N182" s="14">
        <f>K182-H182</f>
        <v>15827730</v>
      </c>
      <c r="O182" s="14">
        <f>L182-I182</f>
        <v>1582743</v>
      </c>
      <c r="P182" s="14">
        <f>M182-J182</f>
        <v>1353000</v>
      </c>
      <c r="Q182" s="4" t="b">
        <f>AND(N182&lt;&gt;0,O182&lt;&gt;0)</f>
        <v>1</v>
      </c>
      <c r="R182" s="4" t="b">
        <f>P182&lt;&gt;0</f>
        <v>1</v>
      </c>
    </row>
    <row r="183" spans="2:18" ht="18" thickBot="1" x14ac:dyDescent="0.45">
      <c r="B183" s="33" t="s">
        <v>569</v>
      </c>
      <c r="C183" s="34" t="s">
        <v>570</v>
      </c>
      <c r="D183" s="35">
        <v>5258501131</v>
      </c>
      <c r="E183" s="4" t="str">
        <f>LEFT(D183,3)</f>
        <v>525</v>
      </c>
      <c r="F183" s="4" t="str">
        <f>MID(D183,4,2)</f>
        <v>85</v>
      </c>
      <c r="G183" s="4" t="str">
        <f>RIGHT(D183,5)</f>
        <v>01131</v>
      </c>
      <c r="H183" s="13">
        <f>IFERROR(VLOOKUP($B183,'SAP 금액'!$A:$C,2,0),0)</f>
        <v>0</v>
      </c>
      <c r="I183" s="13">
        <f>IFERROR(VLOOKUP($B183,'SAP 금액'!$A:$C,3,0),0)</f>
        <v>0</v>
      </c>
      <c r="J183" s="13">
        <f>IFERROR(VLOOKUP(B183,'SAP 금액'!E:F,2,0),0)</f>
        <v>0</v>
      </c>
      <c r="K183" s="13">
        <f>VLOOKUP($B183,'국세청 금액'!$A:$C,2,0)</f>
        <v>63464467</v>
      </c>
      <c r="L183" s="13">
        <f>VLOOKUP($B183,'국세청 금액'!$A:$C,3,0)</f>
        <v>6346430</v>
      </c>
      <c r="M183" s="13">
        <f>VLOOKUP(B183,'국세청 금액'!A:F,6,0)</f>
        <v>0</v>
      </c>
      <c r="N183" s="14">
        <f>K183-H183</f>
        <v>63464467</v>
      </c>
      <c r="O183" s="14">
        <f>L183-I183</f>
        <v>6346430</v>
      </c>
      <c r="P183" s="14">
        <f>M183-J183</f>
        <v>0</v>
      </c>
      <c r="Q183" s="4" t="b">
        <f>AND(N183&lt;&gt;0,O183&lt;&gt;0)</f>
        <v>1</v>
      </c>
      <c r="R183" s="4" t="b">
        <f>P183&lt;&gt;0</f>
        <v>0</v>
      </c>
    </row>
    <row r="184" spans="2:18" ht="18" thickBot="1" x14ac:dyDescent="0.45">
      <c r="B184" s="33" t="s">
        <v>571</v>
      </c>
      <c r="C184" s="34" t="s">
        <v>572</v>
      </c>
      <c r="D184" s="35">
        <v>8358501019</v>
      </c>
      <c r="E184" s="4" t="str">
        <f>LEFT(D184,3)</f>
        <v>835</v>
      </c>
      <c r="F184" s="4" t="str">
        <f>MID(D184,4,2)</f>
        <v>85</v>
      </c>
      <c r="G184" s="4" t="str">
        <f>RIGHT(D184,5)</f>
        <v>01019</v>
      </c>
      <c r="H184" s="13">
        <f>IFERROR(VLOOKUP($B184,'SAP 금액'!$A:$C,2,0),0)</f>
        <v>0</v>
      </c>
      <c r="I184" s="13">
        <f>IFERROR(VLOOKUP($B184,'SAP 금액'!$A:$C,3,0),0)</f>
        <v>0</v>
      </c>
      <c r="J184" s="13">
        <f>IFERROR(VLOOKUP(B184,'SAP 금액'!E:F,2,0),0)</f>
        <v>0</v>
      </c>
      <c r="K184" s="13">
        <f>VLOOKUP($B184,'국세청 금액'!$A:$C,2,0)</f>
        <v>63464467</v>
      </c>
      <c r="L184" s="13">
        <f>VLOOKUP($B184,'국세청 금액'!$A:$C,3,0)</f>
        <v>6346430</v>
      </c>
      <c r="M184" s="13">
        <f>VLOOKUP(B184,'국세청 금액'!A:F,6,0)</f>
        <v>0</v>
      </c>
      <c r="N184" s="14">
        <f>K184-H184</f>
        <v>63464467</v>
      </c>
      <c r="O184" s="14">
        <f>L184-I184</f>
        <v>6346430</v>
      </c>
      <c r="P184" s="14">
        <f>M184-J184</f>
        <v>0</v>
      </c>
      <c r="Q184" s="4" t="b">
        <f>AND(N184&lt;&gt;0,O184&lt;&gt;0)</f>
        <v>1</v>
      </c>
      <c r="R184" s="4" t="b">
        <f>P184&lt;&gt;0</f>
        <v>0</v>
      </c>
    </row>
    <row r="185" spans="2:18" ht="18" thickBot="1" x14ac:dyDescent="0.45">
      <c r="B185" s="33" t="s">
        <v>573</v>
      </c>
      <c r="C185" s="34" t="s">
        <v>574</v>
      </c>
      <c r="D185" s="35">
        <v>6788501226</v>
      </c>
      <c r="E185" s="27" t="str">
        <f>LEFT(D185,3)</f>
        <v>678</v>
      </c>
      <c r="F185" s="27" t="str">
        <f>MID(D185,4,2)</f>
        <v>85</v>
      </c>
      <c r="G185" s="27" t="str">
        <f>RIGHT(D185,5)</f>
        <v>01226</v>
      </c>
      <c r="H185" s="13">
        <f>IFERROR(VLOOKUP($B185,'SAP 금액'!$A:$C,2,0),0)</f>
        <v>0</v>
      </c>
      <c r="I185" s="13">
        <f>IFERROR(VLOOKUP($B185,'SAP 금액'!$A:$C,3,0),0)</f>
        <v>0</v>
      </c>
      <c r="J185" s="13">
        <f>IFERROR(VLOOKUP(B185,'SAP 금액'!E:F,2,0),0)</f>
        <v>0</v>
      </c>
      <c r="K185" s="13">
        <f>VLOOKUP($B185,'국세청 금액'!$A:$C,2,0)</f>
        <v>55733710</v>
      </c>
      <c r="L185" s="13">
        <f>VLOOKUP($B185,'국세청 금액'!$A:$C,3,0)</f>
        <v>5573365</v>
      </c>
      <c r="M185" s="13">
        <f>VLOOKUP(B185,'국세청 금액'!A:F,6,0)</f>
        <v>166000</v>
      </c>
      <c r="N185" s="14">
        <f>K185-H185</f>
        <v>55733710</v>
      </c>
      <c r="O185" s="14">
        <f>L185-I185</f>
        <v>5573365</v>
      </c>
      <c r="P185" s="14">
        <f>M185-J185</f>
        <v>166000</v>
      </c>
      <c r="Q185" s="27" t="b">
        <f>AND(N185&lt;&gt;0,O185&lt;&gt;0)</f>
        <v>1</v>
      </c>
      <c r="R185" s="27" t="b">
        <f>P185&lt;&gt;0</f>
        <v>1</v>
      </c>
    </row>
    <row r="186" spans="2:18" ht="18" thickBot="1" x14ac:dyDescent="0.45">
      <c r="B186" s="33" t="s">
        <v>575</v>
      </c>
      <c r="C186" s="34" t="s">
        <v>576</v>
      </c>
      <c r="D186" s="35">
        <v>1758501163</v>
      </c>
      <c r="E186" s="27" t="str">
        <f>LEFT(D186,3)</f>
        <v>175</v>
      </c>
      <c r="F186" s="27" t="str">
        <f>MID(D186,4,2)</f>
        <v>85</v>
      </c>
      <c r="G186" s="27" t="str">
        <f>RIGHT(D186,5)</f>
        <v>01163</v>
      </c>
      <c r="H186" s="13">
        <f>IFERROR(VLOOKUP($B186,'SAP 금액'!$A:$C,2,0),0)</f>
        <v>0</v>
      </c>
      <c r="I186" s="13">
        <f>IFERROR(VLOOKUP($B186,'SAP 금액'!$A:$C,3,0),0)</f>
        <v>0</v>
      </c>
      <c r="J186" s="13">
        <f>IFERROR(VLOOKUP(B186,'SAP 금액'!E:F,2,0),0)</f>
        <v>0</v>
      </c>
      <c r="K186" s="13">
        <f>VLOOKUP($B186,'국세청 금액'!$A:$C,2,0)</f>
        <v>12932183</v>
      </c>
      <c r="L186" s="13">
        <f>VLOOKUP($B186,'국세청 금액'!$A:$C,3,0)</f>
        <v>1293213</v>
      </c>
      <c r="M186" s="13">
        <f>VLOOKUP(B186,'국세청 금액'!A:F,6,0)</f>
        <v>0</v>
      </c>
      <c r="N186" s="14">
        <f>K186-H186</f>
        <v>12932183</v>
      </c>
      <c r="O186" s="14">
        <f>L186-I186</f>
        <v>1293213</v>
      </c>
      <c r="P186" s="14">
        <f>M186-J186</f>
        <v>0</v>
      </c>
      <c r="Q186" s="27" t="b">
        <f>AND(N186&lt;&gt;0,O186&lt;&gt;0)</f>
        <v>1</v>
      </c>
      <c r="R186" s="27" t="b">
        <f>P186&lt;&gt;0</f>
        <v>0</v>
      </c>
    </row>
    <row r="187" spans="2:18" ht="18" thickBot="1" x14ac:dyDescent="0.45">
      <c r="B187" s="33" t="s">
        <v>577</v>
      </c>
      <c r="C187" s="34" t="s">
        <v>578</v>
      </c>
      <c r="D187" s="35">
        <v>7258501105</v>
      </c>
      <c r="E187" s="27" t="str">
        <f>LEFT(D187,3)</f>
        <v>725</v>
      </c>
      <c r="F187" s="27" t="str">
        <f>MID(D187,4,2)</f>
        <v>85</v>
      </c>
      <c r="G187" s="27" t="str">
        <f>RIGHT(D187,5)</f>
        <v>01105</v>
      </c>
      <c r="H187" s="13">
        <f>IFERROR(VLOOKUP($B187,'SAP 금액'!$A:$C,2,0),0)</f>
        <v>0</v>
      </c>
      <c r="I187" s="13">
        <f>IFERROR(VLOOKUP($B187,'SAP 금액'!$A:$C,3,0),0)</f>
        <v>0</v>
      </c>
      <c r="J187" s="13">
        <f>IFERROR(VLOOKUP(B187,'SAP 금액'!E:F,2,0),0)</f>
        <v>0</v>
      </c>
      <c r="K187" s="13">
        <f>VLOOKUP($B187,'국세청 금액'!$A:$C,2,0)</f>
        <v>21857625</v>
      </c>
      <c r="L187" s="13">
        <f>VLOOKUP($B187,'국세청 금액'!$A:$C,3,0)</f>
        <v>2185765</v>
      </c>
      <c r="M187" s="13">
        <f>VLOOKUP(B187,'국세청 금액'!A:F,6,0)</f>
        <v>0</v>
      </c>
      <c r="N187" s="14">
        <f>K187-H187</f>
        <v>21857625</v>
      </c>
      <c r="O187" s="14">
        <f>L187-I187</f>
        <v>2185765</v>
      </c>
      <c r="P187" s="14">
        <f>M187-J187</f>
        <v>0</v>
      </c>
      <c r="Q187" s="27" t="b">
        <f>AND(N187&lt;&gt;0,O187&lt;&gt;0)</f>
        <v>1</v>
      </c>
      <c r="R187" s="27" t="b">
        <f>P187&lt;&gt;0</f>
        <v>0</v>
      </c>
    </row>
    <row r="188" spans="2:18" ht="18" thickBot="1" x14ac:dyDescent="0.45">
      <c r="B188" s="33" t="s">
        <v>579</v>
      </c>
      <c r="C188" s="34" t="s">
        <v>580</v>
      </c>
      <c r="D188" s="35">
        <v>2998500873</v>
      </c>
      <c r="E188" s="27" t="str">
        <f>LEFT(D188,3)</f>
        <v>299</v>
      </c>
      <c r="F188" s="27" t="str">
        <f>MID(D188,4,2)</f>
        <v>85</v>
      </c>
      <c r="G188" s="27" t="str">
        <f>RIGHT(D188,5)</f>
        <v>00873</v>
      </c>
      <c r="H188" s="13">
        <f>IFERROR(VLOOKUP($B188,'SAP 금액'!$A:$C,2,0),0)</f>
        <v>0</v>
      </c>
      <c r="I188" s="13">
        <f>IFERROR(VLOOKUP($B188,'SAP 금액'!$A:$C,3,0),0)</f>
        <v>0</v>
      </c>
      <c r="J188" s="13">
        <f>IFERROR(VLOOKUP(B188,'SAP 금액'!E:F,2,0),0)</f>
        <v>0</v>
      </c>
      <c r="K188" s="13">
        <f>VLOOKUP($B188,'국세청 금액'!$A:$C,2,0)</f>
        <v>0</v>
      </c>
      <c r="L188" s="13">
        <f>VLOOKUP($B188,'국세청 금액'!$A:$C,3,0)</f>
        <v>0</v>
      </c>
      <c r="M188" s="13">
        <f>VLOOKUP(B188,'국세청 금액'!A:F,6,0)</f>
        <v>912000</v>
      </c>
      <c r="N188" s="14">
        <f>K188-H188</f>
        <v>0</v>
      </c>
      <c r="O188" s="14">
        <f>L188-I188</f>
        <v>0</v>
      </c>
      <c r="P188" s="14">
        <f>M188-J188</f>
        <v>912000</v>
      </c>
      <c r="Q188" s="27" t="b">
        <f>AND(N188&lt;&gt;0,O188&lt;&gt;0)</f>
        <v>0</v>
      </c>
      <c r="R188" s="27" t="b">
        <f>P188&lt;&gt;0</f>
        <v>1</v>
      </c>
    </row>
    <row r="189" spans="2:18" ht="18" thickBot="1" x14ac:dyDescent="0.45">
      <c r="B189" s="33" t="s">
        <v>581</v>
      </c>
      <c r="C189" s="34" t="s">
        <v>582</v>
      </c>
      <c r="D189" s="35">
        <v>6108550376</v>
      </c>
      <c r="E189" s="27" t="str">
        <f>LEFT(D189,3)</f>
        <v>610</v>
      </c>
      <c r="F189" s="27" t="str">
        <f>MID(D189,4,2)</f>
        <v>85</v>
      </c>
      <c r="G189" s="27" t="str">
        <f>RIGHT(D189,5)</f>
        <v>50376</v>
      </c>
      <c r="H189" s="13">
        <f>IFERROR(VLOOKUP($B189,'SAP 금액'!$A:$C,2,0),0)</f>
        <v>0</v>
      </c>
      <c r="I189" s="13">
        <f>IFERROR(VLOOKUP($B189,'SAP 금액'!$A:$C,3,0),0)</f>
        <v>0</v>
      </c>
      <c r="J189" s="13">
        <f>IFERROR(VLOOKUP(B189,'SAP 금액'!E:F,2,0),0)</f>
        <v>0</v>
      </c>
      <c r="K189" s="13">
        <f>VLOOKUP($B189,'국세청 금액'!$A:$C,2,0)</f>
        <v>7437450</v>
      </c>
      <c r="L189" s="13">
        <f>VLOOKUP($B189,'국세청 금액'!$A:$C,3,0)</f>
        <v>743744</v>
      </c>
      <c r="M189" s="13">
        <f>VLOOKUP(B189,'국세청 금액'!A:F,6,0)</f>
        <v>34378</v>
      </c>
      <c r="N189" s="14">
        <f>K189-H189</f>
        <v>7437450</v>
      </c>
      <c r="O189" s="14">
        <f>L189-I189</f>
        <v>743744</v>
      </c>
      <c r="P189" s="14">
        <f>M189-J189</f>
        <v>34378</v>
      </c>
      <c r="Q189" s="27" t="b">
        <f>AND(N189&lt;&gt;0,O189&lt;&gt;0)</f>
        <v>1</v>
      </c>
      <c r="R189" s="27" t="b">
        <f>P189&lt;&gt;0</f>
        <v>1</v>
      </c>
    </row>
    <row r="190" spans="2:18" ht="18" thickBot="1" x14ac:dyDescent="0.45">
      <c r="B190" s="33" t="s">
        <v>583</v>
      </c>
      <c r="C190" s="34" t="s">
        <v>584</v>
      </c>
      <c r="D190" s="35">
        <v>5158515701</v>
      </c>
      <c r="E190" s="27" t="str">
        <f>LEFT(D190,3)</f>
        <v>515</v>
      </c>
      <c r="F190" s="27" t="str">
        <f>MID(D190,4,2)</f>
        <v>85</v>
      </c>
      <c r="G190" s="27" t="str">
        <f>RIGHT(D190,5)</f>
        <v>15701</v>
      </c>
      <c r="H190" s="13">
        <f>IFERROR(VLOOKUP($B190,'SAP 금액'!$A:$C,2,0),0)</f>
        <v>0</v>
      </c>
      <c r="I190" s="13">
        <f>IFERROR(VLOOKUP($B190,'SAP 금액'!$A:$C,3,0),0)</f>
        <v>0</v>
      </c>
      <c r="J190" s="13">
        <f>IFERROR(VLOOKUP(B190,'SAP 금액'!E:F,2,0),0)</f>
        <v>0</v>
      </c>
      <c r="K190" s="13">
        <f>VLOOKUP($B190,'국세청 금액'!$A:$C,2,0)</f>
        <v>154131519</v>
      </c>
      <c r="L190" s="13">
        <f>VLOOKUP($B190,'국세청 금액'!$A:$C,3,0)</f>
        <v>15413151</v>
      </c>
      <c r="M190" s="13">
        <f>VLOOKUP(B190,'국세청 금액'!A:F,6,0)</f>
        <v>0</v>
      </c>
      <c r="N190" s="14">
        <f>K190-H190</f>
        <v>154131519</v>
      </c>
      <c r="O190" s="14">
        <f>L190-I190</f>
        <v>15413151</v>
      </c>
      <c r="P190" s="14">
        <f>M190-J190</f>
        <v>0</v>
      </c>
      <c r="Q190" s="27" t="b">
        <f>AND(N190&lt;&gt;0,O190&lt;&gt;0)</f>
        <v>1</v>
      </c>
      <c r="R190" s="27" t="b">
        <f>P190&lt;&gt;0</f>
        <v>0</v>
      </c>
    </row>
    <row r="191" spans="2:18" ht="18" thickBot="1" x14ac:dyDescent="0.45">
      <c r="B191" s="33" t="s">
        <v>585</v>
      </c>
      <c r="C191" s="34" t="s">
        <v>586</v>
      </c>
      <c r="D191" s="35">
        <v>4308501100</v>
      </c>
      <c r="E191" s="27" t="str">
        <f>LEFT(D191,3)</f>
        <v>430</v>
      </c>
      <c r="F191" s="27" t="str">
        <f>MID(D191,4,2)</f>
        <v>85</v>
      </c>
      <c r="G191" s="27" t="str">
        <f>RIGHT(D191,5)</f>
        <v>01100</v>
      </c>
      <c r="H191" s="13">
        <f>IFERROR(VLOOKUP($B191,'SAP 금액'!$A:$C,2,0),0)</f>
        <v>0</v>
      </c>
      <c r="I191" s="13">
        <f>IFERROR(VLOOKUP($B191,'SAP 금액'!$A:$C,3,0),0)</f>
        <v>0</v>
      </c>
      <c r="J191" s="13">
        <f>IFERROR(VLOOKUP(B191,'SAP 금액'!E:F,2,0),0)</f>
        <v>0</v>
      </c>
      <c r="K191" s="13">
        <f>VLOOKUP($B191,'국세청 금액'!$A:$C,2,0)</f>
        <v>154131519</v>
      </c>
      <c r="L191" s="13">
        <f>VLOOKUP($B191,'국세청 금액'!$A:$C,3,0)</f>
        <v>15413151</v>
      </c>
      <c r="M191" s="13">
        <f>VLOOKUP(B191,'국세청 금액'!A:F,6,0)</f>
        <v>0</v>
      </c>
      <c r="N191" s="14">
        <f>K191-H191</f>
        <v>154131519</v>
      </c>
      <c r="O191" s="14">
        <f>L191-I191</f>
        <v>15413151</v>
      </c>
      <c r="P191" s="14">
        <f>M191-J191</f>
        <v>0</v>
      </c>
      <c r="Q191" s="27" t="b">
        <f>AND(N191&lt;&gt;0,O191&lt;&gt;0)</f>
        <v>1</v>
      </c>
      <c r="R191" s="27" t="b">
        <f>P191&lt;&gt;0</f>
        <v>0</v>
      </c>
    </row>
    <row r="192" spans="2:18" ht="18" thickBot="1" x14ac:dyDescent="0.45">
      <c r="B192" s="33" t="s">
        <v>587</v>
      </c>
      <c r="C192" s="34" t="s">
        <v>588</v>
      </c>
      <c r="D192" s="35">
        <v>6198503318</v>
      </c>
      <c r="E192" s="27" t="str">
        <f>LEFT(D192,3)</f>
        <v>619</v>
      </c>
      <c r="F192" s="27" t="str">
        <f>MID(D192,4,2)</f>
        <v>85</v>
      </c>
      <c r="G192" s="27" t="str">
        <f>RIGHT(D192,5)</f>
        <v>03318</v>
      </c>
      <c r="H192" s="13">
        <f>IFERROR(VLOOKUP($B192,'SAP 금액'!$A:$C,2,0),0)</f>
        <v>0</v>
      </c>
      <c r="I192" s="13">
        <f>IFERROR(VLOOKUP($B192,'SAP 금액'!$A:$C,3,0),0)</f>
        <v>0</v>
      </c>
      <c r="J192" s="13">
        <f>IFERROR(VLOOKUP(B192,'SAP 금액'!E:F,2,0),0)</f>
        <v>0</v>
      </c>
      <c r="K192" s="13">
        <f>VLOOKUP($B192,'국세청 금액'!$A:$C,2,0)</f>
        <v>85416952</v>
      </c>
      <c r="L192" s="13">
        <f>VLOOKUP($B192,'국세청 금액'!$A:$C,3,0)</f>
        <v>8540733</v>
      </c>
      <c r="M192" s="13">
        <f>VLOOKUP(B192,'국세청 금액'!A:F,6,0)</f>
        <v>0</v>
      </c>
      <c r="N192" s="14">
        <f>K192-H192</f>
        <v>85416952</v>
      </c>
      <c r="O192" s="14">
        <f>L192-I192</f>
        <v>8540733</v>
      </c>
      <c r="P192" s="14">
        <f>M192-J192</f>
        <v>0</v>
      </c>
      <c r="Q192" s="27" t="b">
        <f>AND(N192&lt;&gt;0,O192&lt;&gt;0)</f>
        <v>1</v>
      </c>
      <c r="R192" s="27" t="b">
        <f>P192&lt;&gt;0</f>
        <v>0</v>
      </c>
    </row>
    <row r="193" spans="2:18" ht="18" thickBot="1" x14ac:dyDescent="0.45">
      <c r="B193" s="33" t="s">
        <v>589</v>
      </c>
      <c r="C193" s="34" t="s">
        <v>590</v>
      </c>
      <c r="D193" s="35">
        <v>2788501050</v>
      </c>
      <c r="E193" s="27" t="str">
        <f>LEFT(D193,3)</f>
        <v>278</v>
      </c>
      <c r="F193" s="27" t="str">
        <f>MID(D193,4,2)</f>
        <v>85</v>
      </c>
      <c r="G193" s="27" t="str">
        <f>RIGHT(D193,5)</f>
        <v>01050</v>
      </c>
      <c r="H193" s="13">
        <f>IFERROR(VLOOKUP($B193,'SAP 금액'!$A:$C,2,0),0)</f>
        <v>0</v>
      </c>
      <c r="I193" s="13">
        <f>IFERROR(VLOOKUP($B193,'SAP 금액'!$A:$C,3,0),0)</f>
        <v>0</v>
      </c>
      <c r="J193" s="13">
        <f>IFERROR(VLOOKUP(B193,'SAP 금액'!E:F,2,0),0)</f>
        <v>0</v>
      </c>
      <c r="K193" s="13">
        <f>VLOOKUP($B193,'국세청 금액'!$A:$C,2,0)</f>
        <v>52288048</v>
      </c>
      <c r="L193" s="13">
        <f>VLOOKUP($B193,'국세청 금액'!$A:$C,3,0)</f>
        <v>5228803</v>
      </c>
      <c r="M193" s="13">
        <f>VLOOKUP(B193,'국세청 금액'!A:F,6,0)</f>
        <v>0</v>
      </c>
      <c r="N193" s="14">
        <f>K193-H193</f>
        <v>52288048</v>
      </c>
      <c r="O193" s="14">
        <f>L193-I193</f>
        <v>5228803</v>
      </c>
      <c r="P193" s="14">
        <f>M193-J193</f>
        <v>0</v>
      </c>
      <c r="Q193" s="27" t="b">
        <f>AND(N193&lt;&gt;0,O193&lt;&gt;0)</f>
        <v>1</v>
      </c>
      <c r="R193" s="27" t="b">
        <f>P193&lt;&gt;0</f>
        <v>0</v>
      </c>
    </row>
    <row r="194" spans="2:18" ht="18" thickBot="1" x14ac:dyDescent="0.45">
      <c r="B194" s="33" t="s">
        <v>591</v>
      </c>
      <c r="C194" s="34" t="s">
        <v>592</v>
      </c>
      <c r="D194" s="35">
        <v>7888501241</v>
      </c>
      <c r="E194" s="27" t="str">
        <f>LEFT(D194,3)</f>
        <v>788</v>
      </c>
      <c r="F194" s="27" t="str">
        <f>MID(D194,4,2)</f>
        <v>85</v>
      </c>
      <c r="G194" s="27" t="str">
        <f>RIGHT(D194,5)</f>
        <v>01241</v>
      </c>
      <c r="H194" s="13">
        <f>IFERROR(VLOOKUP($B194,'SAP 금액'!$A:$C,2,0),0)</f>
        <v>0</v>
      </c>
      <c r="I194" s="13">
        <f>IFERROR(VLOOKUP($B194,'SAP 금액'!$A:$C,3,0),0)</f>
        <v>0</v>
      </c>
      <c r="J194" s="13">
        <f>IFERROR(VLOOKUP(B194,'SAP 금액'!E:F,2,0),0)</f>
        <v>0</v>
      </c>
      <c r="K194" s="13">
        <f>VLOOKUP($B194,'국세청 금액'!$A:$C,2,0)</f>
        <v>33577202</v>
      </c>
      <c r="L194" s="13">
        <f>VLOOKUP($B194,'국세청 금액'!$A:$C,3,0)</f>
        <v>3357525</v>
      </c>
      <c r="M194" s="13">
        <f>VLOOKUP(B194,'국세청 금액'!A:F,6,0)</f>
        <v>0</v>
      </c>
      <c r="N194" s="14">
        <f>K194-H194</f>
        <v>33577202</v>
      </c>
      <c r="O194" s="14">
        <f>L194-I194</f>
        <v>3357525</v>
      </c>
      <c r="P194" s="14">
        <f>M194-J194</f>
        <v>0</v>
      </c>
      <c r="Q194" s="27" t="b">
        <f>AND(N194&lt;&gt;0,O194&lt;&gt;0)</f>
        <v>1</v>
      </c>
      <c r="R194" s="27" t="b">
        <f>P194&lt;&gt;0</f>
        <v>0</v>
      </c>
    </row>
    <row r="195" spans="2:18" ht="18" thickBot="1" x14ac:dyDescent="0.45">
      <c r="B195" s="33" t="s">
        <v>593</v>
      </c>
      <c r="C195" s="34" t="s">
        <v>594</v>
      </c>
      <c r="D195" s="35">
        <v>3258501190</v>
      </c>
      <c r="E195" s="27" t="str">
        <f>LEFT(D195,3)</f>
        <v>325</v>
      </c>
      <c r="F195" s="27" t="str">
        <f>MID(D195,4,2)</f>
        <v>85</v>
      </c>
      <c r="G195" s="27" t="str">
        <f>RIGHT(D195,5)</f>
        <v>01190</v>
      </c>
      <c r="H195" s="13">
        <f>IFERROR(VLOOKUP($B195,'SAP 금액'!$A:$C,2,0),0)</f>
        <v>0</v>
      </c>
      <c r="I195" s="13">
        <f>IFERROR(VLOOKUP($B195,'SAP 금액'!$A:$C,3,0),0)</f>
        <v>0</v>
      </c>
      <c r="J195" s="13">
        <f>IFERROR(VLOOKUP(B195,'SAP 금액'!E:F,2,0),0)</f>
        <v>0</v>
      </c>
      <c r="K195" s="13">
        <f>VLOOKUP($B195,'국세청 금액'!$A:$C,2,0)</f>
        <v>0</v>
      </c>
      <c r="L195" s="13">
        <f>VLOOKUP($B195,'국세청 금액'!$A:$C,3,0)</f>
        <v>0</v>
      </c>
      <c r="M195" s="13">
        <f>VLOOKUP(B195,'국세청 금액'!A:F,6,0)</f>
        <v>0</v>
      </c>
      <c r="N195" s="14">
        <f>K195-H195</f>
        <v>0</v>
      </c>
      <c r="O195" s="14">
        <f>L195-I195</f>
        <v>0</v>
      </c>
      <c r="P195" s="14">
        <f>M195-J195</f>
        <v>0</v>
      </c>
      <c r="Q195" s="27" t="b">
        <f>AND(N195&lt;&gt;0,O195&lt;&gt;0)</f>
        <v>0</v>
      </c>
      <c r="R195" s="27" t="b">
        <f>P195&lt;&gt;0</f>
        <v>0</v>
      </c>
    </row>
    <row r="196" spans="2:18" ht="18" thickBot="1" x14ac:dyDescent="0.45">
      <c r="B196" s="33" t="s">
        <v>595</v>
      </c>
      <c r="C196" s="34" t="s">
        <v>596</v>
      </c>
      <c r="D196" s="35">
        <v>6868501246</v>
      </c>
      <c r="E196" s="27" t="str">
        <f>LEFT(D196,3)</f>
        <v>686</v>
      </c>
      <c r="F196" s="27" t="str">
        <f>MID(D196,4,2)</f>
        <v>85</v>
      </c>
      <c r="G196" s="27" t="str">
        <f>RIGHT(D196,5)</f>
        <v>01246</v>
      </c>
      <c r="H196" s="13">
        <f>IFERROR(VLOOKUP($B196,'SAP 금액'!$A:$C,2,0),0)</f>
        <v>0</v>
      </c>
      <c r="I196" s="13">
        <f>IFERROR(VLOOKUP($B196,'SAP 금액'!$A:$C,3,0),0)</f>
        <v>0</v>
      </c>
      <c r="J196" s="13">
        <f>IFERROR(VLOOKUP(B196,'SAP 금액'!E:F,2,0),0)</f>
        <v>0</v>
      </c>
      <c r="K196" s="13">
        <f>VLOOKUP($B196,'국세청 금액'!$A:$C,2,0)</f>
        <v>0</v>
      </c>
      <c r="L196" s="13">
        <f>VLOOKUP($B196,'국세청 금액'!$A:$C,3,0)</f>
        <v>0</v>
      </c>
      <c r="M196" s="13">
        <f>VLOOKUP(B196,'국세청 금액'!A:F,6,0)</f>
        <v>0</v>
      </c>
      <c r="N196" s="14">
        <f>K196-H196</f>
        <v>0</v>
      </c>
      <c r="O196" s="14">
        <f>L196-I196</f>
        <v>0</v>
      </c>
      <c r="P196" s="14">
        <f>M196-J196</f>
        <v>0</v>
      </c>
      <c r="Q196" s="27" t="b">
        <f>AND(N196&lt;&gt;0,O196&lt;&gt;0)</f>
        <v>0</v>
      </c>
      <c r="R196" s="27" t="b">
        <f>P196&lt;&gt;0</f>
        <v>0</v>
      </c>
    </row>
    <row r="197" spans="2:18" ht="18" thickBot="1" x14ac:dyDescent="0.45">
      <c r="B197" s="33" t="s">
        <v>597</v>
      </c>
      <c r="C197" s="34" t="s">
        <v>598</v>
      </c>
      <c r="D197" s="35">
        <v>5928501131</v>
      </c>
      <c r="E197" s="27" t="str">
        <f>LEFT(D197,3)</f>
        <v>592</v>
      </c>
      <c r="F197" s="27" t="str">
        <f>MID(D197,4,2)</f>
        <v>85</v>
      </c>
      <c r="G197" s="27" t="str">
        <f>RIGHT(D197,5)</f>
        <v>01131</v>
      </c>
      <c r="H197" s="13">
        <f>IFERROR(VLOOKUP($B197,'SAP 금액'!$A:$C,2,0),0)</f>
        <v>0</v>
      </c>
      <c r="I197" s="13">
        <f>IFERROR(VLOOKUP($B197,'SAP 금액'!$A:$C,3,0),0)</f>
        <v>0</v>
      </c>
      <c r="J197" s="13">
        <f>IFERROR(VLOOKUP(B197,'SAP 금액'!E:F,2,0),0)</f>
        <v>0</v>
      </c>
      <c r="K197" s="13">
        <f>VLOOKUP($B197,'국세청 금액'!$A:$C,2,0)</f>
        <v>0</v>
      </c>
      <c r="L197" s="13">
        <f>VLOOKUP($B197,'국세청 금액'!$A:$C,3,0)</f>
        <v>0</v>
      </c>
      <c r="M197" s="13">
        <f>VLOOKUP(B197,'국세청 금액'!A:F,6,0)</f>
        <v>2249249</v>
      </c>
      <c r="N197" s="14">
        <f>K197-H197</f>
        <v>0</v>
      </c>
      <c r="O197" s="14">
        <f>L197-I197</f>
        <v>0</v>
      </c>
      <c r="P197" s="14">
        <f>M197-J197</f>
        <v>2249249</v>
      </c>
      <c r="Q197" s="27" t="b">
        <f>AND(N197&lt;&gt;0,O197&lt;&gt;0)</f>
        <v>0</v>
      </c>
      <c r="R197" s="27" t="b">
        <f>P197&lt;&gt;0</f>
        <v>1</v>
      </c>
    </row>
    <row r="198" spans="2:18" ht="18" thickBot="1" x14ac:dyDescent="0.45">
      <c r="B198" s="33" t="s">
        <v>599</v>
      </c>
      <c r="C198" s="34" t="s">
        <v>600</v>
      </c>
      <c r="D198" s="35">
        <v>8888501309</v>
      </c>
      <c r="E198" s="27" t="str">
        <f>LEFT(D198,3)</f>
        <v>888</v>
      </c>
      <c r="F198" s="27" t="str">
        <f>MID(D198,4,2)</f>
        <v>85</v>
      </c>
      <c r="G198" s="27" t="str">
        <f>RIGHT(D198,5)</f>
        <v>01309</v>
      </c>
      <c r="H198" s="13">
        <f>IFERROR(VLOOKUP($B198,'SAP 금액'!$A:$C,2,0),0)</f>
        <v>0</v>
      </c>
      <c r="I198" s="13">
        <f>IFERROR(VLOOKUP($B198,'SAP 금액'!$A:$C,3,0),0)</f>
        <v>0</v>
      </c>
      <c r="J198" s="13">
        <f>IFERROR(VLOOKUP(B198,'SAP 금액'!E:F,2,0),0)</f>
        <v>0</v>
      </c>
      <c r="K198" s="13">
        <f>VLOOKUP($B198,'국세청 금액'!$A:$C,2,0)</f>
        <v>75068978</v>
      </c>
      <c r="L198" s="13">
        <f>VLOOKUP($B198,'국세청 금액'!$A:$C,3,0)</f>
        <v>7506894</v>
      </c>
      <c r="M198" s="13">
        <f>VLOOKUP(B198,'국세청 금액'!A:F,6,0)</f>
        <v>5154791</v>
      </c>
      <c r="N198" s="14">
        <f>K198-H198</f>
        <v>75068978</v>
      </c>
      <c r="O198" s="14">
        <f>L198-I198</f>
        <v>7506894</v>
      </c>
      <c r="P198" s="14">
        <f>M198-J198</f>
        <v>5154791</v>
      </c>
      <c r="Q198" s="27" t="b">
        <f>AND(N198&lt;&gt;0,O198&lt;&gt;0)</f>
        <v>1</v>
      </c>
      <c r="R198" s="27" t="b">
        <f>P198&lt;&gt;0</f>
        <v>1</v>
      </c>
    </row>
    <row r="199" spans="2:18" ht="18" thickBot="1" x14ac:dyDescent="0.45">
      <c r="B199" s="36" t="s">
        <v>601</v>
      </c>
      <c r="C199" s="37" t="s">
        <v>602</v>
      </c>
      <c r="D199" s="38">
        <v>6108550380</v>
      </c>
      <c r="E199" s="27" t="str">
        <f>LEFT(D199,3)</f>
        <v>610</v>
      </c>
      <c r="F199" s="27" t="str">
        <f>MID(D199,4,2)</f>
        <v>85</v>
      </c>
      <c r="G199" s="27" t="str">
        <f>RIGHT(D199,5)</f>
        <v>50380</v>
      </c>
      <c r="H199" s="13">
        <f>IFERROR(VLOOKUP($B199,'SAP 금액'!$A:$C,2,0),0)</f>
        <v>0</v>
      </c>
      <c r="I199" s="13">
        <f>IFERROR(VLOOKUP($B199,'SAP 금액'!$A:$C,3,0),0)</f>
        <v>0</v>
      </c>
      <c r="J199" s="13">
        <f>IFERROR(VLOOKUP(B199,'SAP 금액'!E:F,2,0),0)</f>
        <v>0</v>
      </c>
      <c r="K199" s="13">
        <f>VLOOKUP($B199,'국세청 금액'!$A:$C,2,0)</f>
        <v>49466621</v>
      </c>
      <c r="L199" s="13">
        <f>VLOOKUP($B199,'국세청 금액'!$A:$C,3,0)</f>
        <v>4946659</v>
      </c>
      <c r="M199" s="13">
        <f>VLOOKUP(B199,'국세청 금액'!A:F,6,0)</f>
        <v>2906941</v>
      </c>
      <c r="N199" s="14">
        <f>K199-H199</f>
        <v>49466621</v>
      </c>
      <c r="O199" s="14">
        <f>L199-I199</f>
        <v>4946659</v>
      </c>
      <c r="P199" s="14">
        <f>M199-J199</f>
        <v>2906941</v>
      </c>
      <c r="Q199" s="27" t="b">
        <f>AND(N199&lt;&gt;0,O199&lt;&gt;0)</f>
        <v>1</v>
      </c>
      <c r="R199" s="27" t="b">
        <f>P199&lt;&gt;0</f>
        <v>1</v>
      </c>
    </row>
    <row r="200" spans="2:18" ht="18" thickBot="1" x14ac:dyDescent="0.45">
      <c r="B200" s="36" t="s">
        <v>603</v>
      </c>
      <c r="C200" s="37" t="s">
        <v>604</v>
      </c>
      <c r="D200" s="38">
        <v>3288501073</v>
      </c>
      <c r="E200" s="27" t="str">
        <f>LEFT(D200,3)</f>
        <v>328</v>
      </c>
      <c r="F200" s="27" t="str">
        <f>MID(D200,4,2)</f>
        <v>85</v>
      </c>
      <c r="G200" s="27" t="str">
        <f>RIGHT(D200,5)</f>
        <v>01073</v>
      </c>
      <c r="H200" s="13">
        <f>IFERROR(VLOOKUP($B200,'SAP 금액'!$A:$C,2,0),0)</f>
        <v>0</v>
      </c>
      <c r="I200" s="13">
        <f>IFERROR(VLOOKUP($B200,'SAP 금액'!$A:$C,3,0),0)</f>
        <v>0</v>
      </c>
      <c r="J200" s="13">
        <f>IFERROR(VLOOKUP(B200,'SAP 금액'!E:F,2,0),0)</f>
        <v>0</v>
      </c>
      <c r="K200" s="13">
        <f>VLOOKUP($B200,'국세청 금액'!$A:$C,2,0)</f>
        <v>58492238</v>
      </c>
      <c r="L200" s="13">
        <f>VLOOKUP($B200,'국세청 금액'!$A:$C,3,0)</f>
        <v>5849099</v>
      </c>
      <c r="M200" s="13">
        <f>VLOOKUP(B200,'국세청 금액'!A:F,6,0)</f>
        <v>0</v>
      </c>
      <c r="N200" s="14">
        <f>K200-H200</f>
        <v>58492238</v>
      </c>
      <c r="O200" s="14">
        <f>L200-I200</f>
        <v>5849099</v>
      </c>
      <c r="P200" s="14">
        <f>M200-J200</f>
        <v>0</v>
      </c>
      <c r="Q200" s="27" t="b">
        <f>AND(N200&lt;&gt;0,O200&lt;&gt;0)</f>
        <v>1</v>
      </c>
      <c r="R200" s="27" t="b">
        <f>P200&lt;&gt;0</f>
        <v>0</v>
      </c>
    </row>
    <row r="201" spans="2:18" ht="18" thickBot="1" x14ac:dyDescent="0.45">
      <c r="B201" s="36" t="s">
        <v>605</v>
      </c>
      <c r="C201" s="37" t="s">
        <v>606</v>
      </c>
      <c r="D201" s="38">
        <v>3578501033</v>
      </c>
      <c r="E201" s="27" t="str">
        <f>LEFT(D201,3)</f>
        <v>357</v>
      </c>
      <c r="F201" s="27" t="str">
        <f>MID(D201,4,2)</f>
        <v>85</v>
      </c>
      <c r="G201" s="27" t="str">
        <f>RIGHT(D201,5)</f>
        <v>01033</v>
      </c>
      <c r="H201" s="13">
        <f>IFERROR(VLOOKUP($B201,'SAP 금액'!$A:$C,2,0),0)</f>
        <v>0</v>
      </c>
      <c r="I201" s="13">
        <f>IFERROR(VLOOKUP($B201,'SAP 금액'!$A:$C,3,0),0)</f>
        <v>0</v>
      </c>
      <c r="J201" s="13">
        <f>IFERROR(VLOOKUP(B201,'SAP 금액'!E:F,2,0),0)</f>
        <v>0</v>
      </c>
      <c r="K201" s="13">
        <f>VLOOKUP($B201,'국세청 금액'!$A:$C,2,0)</f>
        <v>139280735</v>
      </c>
      <c r="L201" s="13">
        <f>VLOOKUP($B201,'국세청 금액'!$A:$C,3,0)</f>
        <v>13927873</v>
      </c>
      <c r="M201" s="13">
        <f>VLOOKUP(B201,'국세청 금액'!A:F,6,0)</f>
        <v>3740857</v>
      </c>
      <c r="N201" s="14">
        <f>K201-H201</f>
        <v>139280735</v>
      </c>
      <c r="O201" s="14">
        <f>L201-I201</f>
        <v>13927873</v>
      </c>
      <c r="P201" s="14">
        <f>M201-J201</f>
        <v>3740857</v>
      </c>
      <c r="Q201" s="27" t="b">
        <f>AND(N201&lt;&gt;0,O201&lt;&gt;0)</f>
        <v>1</v>
      </c>
      <c r="R201" s="27" t="b">
        <f>P201&lt;&gt;0</f>
        <v>1</v>
      </c>
    </row>
    <row r="202" spans="2:18" ht="18" thickBot="1" x14ac:dyDescent="0.45">
      <c r="B202" s="36" t="s">
        <v>607</v>
      </c>
      <c r="C202" s="37" t="s">
        <v>608</v>
      </c>
      <c r="D202" s="38">
        <v>1208550984</v>
      </c>
      <c r="E202" s="27" t="str">
        <f>LEFT(D202,3)</f>
        <v>120</v>
      </c>
      <c r="F202" s="27" t="str">
        <f>MID(D202,4,2)</f>
        <v>85</v>
      </c>
      <c r="G202" s="27" t="str">
        <f>RIGHT(D202,5)</f>
        <v>50984</v>
      </c>
      <c r="H202" s="13">
        <f>IFERROR(VLOOKUP($B202,'SAP 금액'!$A:$C,2,0),0)</f>
        <v>0</v>
      </c>
      <c r="I202" s="13">
        <f>IFERROR(VLOOKUP($B202,'SAP 금액'!$A:$C,3,0),0)</f>
        <v>0</v>
      </c>
      <c r="J202" s="13">
        <f>IFERROR(VLOOKUP(B202,'SAP 금액'!E:F,2,0),0)</f>
        <v>0</v>
      </c>
      <c r="K202" s="13">
        <f>VLOOKUP($B202,'국세청 금액'!$A:$C,2,0)</f>
        <v>31342674</v>
      </c>
      <c r="L202" s="13">
        <f>VLOOKUP($B202,'국세청 금액'!$A:$C,3,0)</f>
        <v>3134267</v>
      </c>
      <c r="M202" s="13">
        <f>VLOOKUP(B202,'국세청 금액'!A:F,6,0)</f>
        <v>0</v>
      </c>
      <c r="N202" s="14">
        <f>K202-H202</f>
        <v>31342674</v>
      </c>
      <c r="O202" s="14">
        <f>L202-I202</f>
        <v>3134267</v>
      </c>
      <c r="P202" s="14">
        <f>M202-J202</f>
        <v>0</v>
      </c>
      <c r="Q202" s="27" t="b">
        <f>AND(N202&lt;&gt;0,O202&lt;&gt;0)</f>
        <v>1</v>
      </c>
      <c r="R202" s="27" t="b">
        <f>P202&lt;&gt;0</f>
        <v>0</v>
      </c>
    </row>
    <row r="203" spans="2:18" ht="18" thickBot="1" x14ac:dyDescent="0.45">
      <c r="B203" s="36" t="s">
        <v>609</v>
      </c>
      <c r="C203" s="37" t="s">
        <v>610</v>
      </c>
      <c r="D203" s="38">
        <v>1938501195</v>
      </c>
      <c r="E203" s="27" t="str">
        <f>LEFT(D203,3)</f>
        <v>193</v>
      </c>
      <c r="F203" s="27" t="str">
        <f>MID(D203,4,2)</f>
        <v>85</v>
      </c>
      <c r="G203" s="27" t="str">
        <f>RIGHT(D203,5)</f>
        <v>01195</v>
      </c>
      <c r="H203" s="13">
        <f>IFERROR(VLOOKUP($B203,'SAP 금액'!$A:$C,2,0),0)</f>
        <v>0</v>
      </c>
      <c r="I203" s="13">
        <f>IFERROR(VLOOKUP($B203,'SAP 금액'!$A:$C,3,0),0)</f>
        <v>0</v>
      </c>
      <c r="J203" s="13">
        <f>IFERROR(VLOOKUP(B203,'SAP 금액'!E:F,2,0),0)</f>
        <v>0</v>
      </c>
      <c r="K203" s="13">
        <f>VLOOKUP($B203,'국세청 금액'!$A:$C,2,0)</f>
        <v>0</v>
      </c>
      <c r="L203" s="13">
        <f>VLOOKUP($B203,'국세청 금액'!$A:$C,3,0)</f>
        <v>0</v>
      </c>
      <c r="M203" s="13">
        <f>VLOOKUP(B203,'국세청 금액'!A:F,6,0)</f>
        <v>0</v>
      </c>
      <c r="N203" s="14">
        <f>K203-H203</f>
        <v>0</v>
      </c>
      <c r="O203" s="14">
        <f>L203-I203</f>
        <v>0</v>
      </c>
      <c r="P203" s="14">
        <f>M203-J203</f>
        <v>0</v>
      </c>
      <c r="Q203" s="27" t="b">
        <f>AND(N203&lt;&gt;0,O203&lt;&gt;0)</f>
        <v>0</v>
      </c>
      <c r="R203" s="27" t="b">
        <f>P203&lt;&gt;0</f>
        <v>0</v>
      </c>
    </row>
    <row r="204" spans="2:18" ht="18" thickBot="1" x14ac:dyDescent="0.45">
      <c r="B204" s="36" t="s">
        <v>611</v>
      </c>
      <c r="C204" s="37" t="s">
        <v>612</v>
      </c>
      <c r="D204" s="38">
        <v>6588501090</v>
      </c>
      <c r="E204" s="27" t="str">
        <f>LEFT(D204,3)</f>
        <v>658</v>
      </c>
      <c r="F204" s="27" t="str">
        <f>MID(D204,4,2)</f>
        <v>85</v>
      </c>
      <c r="G204" s="27" t="str">
        <f>RIGHT(D204,5)</f>
        <v>01090</v>
      </c>
      <c r="H204" s="13">
        <f>IFERROR(VLOOKUP($B204,'SAP 금액'!$A:$C,2,0),0)</f>
        <v>0</v>
      </c>
      <c r="I204" s="13">
        <f>IFERROR(VLOOKUP($B204,'SAP 금액'!$A:$C,3,0),0)</f>
        <v>0</v>
      </c>
      <c r="J204" s="13">
        <f>IFERROR(VLOOKUP(B204,'SAP 금액'!E:F,2,0),0)</f>
        <v>0</v>
      </c>
      <c r="K204" s="13">
        <f>VLOOKUP($B204,'국세청 금액'!$A:$C,2,0)</f>
        <v>157575948</v>
      </c>
      <c r="L204" s="13">
        <f>VLOOKUP($B204,'국세청 금액'!$A:$C,3,0)</f>
        <v>15757433</v>
      </c>
      <c r="M204" s="13">
        <f>VLOOKUP(B204,'국세청 금액'!A:F,6,0)</f>
        <v>4393530</v>
      </c>
      <c r="N204" s="14">
        <f>K204-H204</f>
        <v>157575948</v>
      </c>
      <c r="O204" s="14">
        <f>L204-I204</f>
        <v>15757433</v>
      </c>
      <c r="P204" s="14">
        <f>M204-J204</f>
        <v>4393530</v>
      </c>
      <c r="Q204" s="27" t="b">
        <f>AND(N204&lt;&gt;0,O204&lt;&gt;0)</f>
        <v>1</v>
      </c>
      <c r="R204" s="27" t="b">
        <f>P204&lt;&gt;0</f>
        <v>1</v>
      </c>
    </row>
    <row r="205" spans="2:18" ht="18" thickBot="1" x14ac:dyDescent="0.45">
      <c r="B205" s="33" t="s">
        <v>613</v>
      </c>
      <c r="C205" s="34" t="s">
        <v>614</v>
      </c>
      <c r="D205" s="35">
        <v>5388501122</v>
      </c>
      <c r="E205" s="27" t="str">
        <f>LEFT(D205,3)</f>
        <v>538</v>
      </c>
      <c r="F205" s="27" t="str">
        <f>MID(D205,4,2)</f>
        <v>85</v>
      </c>
      <c r="G205" s="27" t="str">
        <f>RIGHT(D205,5)</f>
        <v>01122</v>
      </c>
      <c r="H205" s="13">
        <f>IFERROR(VLOOKUP($B205,'SAP 금액'!$A:$C,2,0),0)</f>
        <v>0</v>
      </c>
      <c r="I205" s="13">
        <f>IFERROR(VLOOKUP($B205,'SAP 금액'!$A:$C,3,0),0)</f>
        <v>0</v>
      </c>
      <c r="J205" s="13">
        <f>IFERROR(VLOOKUP(B205,'SAP 금액'!E:F,2,0),0)</f>
        <v>0</v>
      </c>
      <c r="K205" s="13">
        <f>VLOOKUP($B205,'국세청 금액'!$A:$C,2,0)</f>
        <v>73656014</v>
      </c>
      <c r="L205" s="13">
        <f>VLOOKUP($B205,'국세청 금액'!$A:$C,3,0)</f>
        <v>7365597</v>
      </c>
      <c r="M205" s="13">
        <f>VLOOKUP(B205,'국세청 금액'!A:F,6,0)</f>
        <v>0</v>
      </c>
      <c r="N205" s="14">
        <f>K205-H205</f>
        <v>73656014</v>
      </c>
      <c r="O205" s="14">
        <f>L205-I205</f>
        <v>7365597</v>
      </c>
      <c r="P205" s="14">
        <f>M205-J205</f>
        <v>0</v>
      </c>
      <c r="Q205" s="27" t="b">
        <f>AND(N205&lt;&gt;0,O205&lt;&gt;0)</f>
        <v>1</v>
      </c>
      <c r="R205" s="27" t="b">
        <f>P205&lt;&gt;0</f>
        <v>0</v>
      </c>
    </row>
    <row r="206" spans="2:18" ht="18" thickBot="1" x14ac:dyDescent="0.45">
      <c r="B206" s="33" t="s">
        <v>615</v>
      </c>
      <c r="C206" s="34" t="s">
        <v>616</v>
      </c>
      <c r="D206" s="35">
        <v>7998501052</v>
      </c>
      <c r="E206" s="27" t="str">
        <f>LEFT(D206,3)</f>
        <v>799</v>
      </c>
      <c r="F206" s="27" t="str">
        <f>MID(D206,4,2)</f>
        <v>85</v>
      </c>
      <c r="G206" s="27" t="str">
        <f>RIGHT(D206,5)</f>
        <v>01052</v>
      </c>
      <c r="H206" s="13">
        <f>IFERROR(VLOOKUP($B206,'SAP 금액'!$A:$C,2,0),0)</f>
        <v>0</v>
      </c>
      <c r="I206" s="13">
        <f>IFERROR(VLOOKUP($B206,'SAP 금액'!$A:$C,3,0),0)</f>
        <v>0</v>
      </c>
      <c r="J206" s="13">
        <f>IFERROR(VLOOKUP(B206,'SAP 금액'!E:F,2,0),0)</f>
        <v>0</v>
      </c>
      <c r="K206" s="13">
        <f>VLOOKUP($B206,'국세청 금액'!$A:$C,2,0)</f>
        <v>51242112</v>
      </c>
      <c r="L206" s="13">
        <f>VLOOKUP($B206,'국세청 금액'!$A:$C,3,0)</f>
        <v>5124208</v>
      </c>
      <c r="M206" s="13">
        <f>VLOOKUP(B206,'국세청 금액'!A:F,6,0)</f>
        <v>3733730</v>
      </c>
      <c r="N206" s="14">
        <f>K206-H206</f>
        <v>51242112</v>
      </c>
      <c r="O206" s="14">
        <f>L206-I206</f>
        <v>5124208</v>
      </c>
      <c r="P206" s="14">
        <f>M206-J206</f>
        <v>3733730</v>
      </c>
      <c r="Q206" s="27" t="b">
        <f>AND(N206&lt;&gt;0,O206&lt;&gt;0)</f>
        <v>1</v>
      </c>
      <c r="R206" s="27" t="b">
        <f>P206&lt;&gt;0</f>
        <v>1</v>
      </c>
    </row>
    <row r="207" spans="2:18" ht="18" thickBot="1" x14ac:dyDescent="0.45">
      <c r="B207" s="33" t="s">
        <v>617</v>
      </c>
      <c r="C207" s="34" t="s">
        <v>618</v>
      </c>
      <c r="D207" s="35">
        <v>1748501253</v>
      </c>
      <c r="E207" s="27" t="str">
        <f>LEFT(D207,3)</f>
        <v>174</v>
      </c>
      <c r="F207" s="27" t="str">
        <f>MID(D207,4,2)</f>
        <v>85</v>
      </c>
      <c r="G207" s="27" t="str">
        <f>RIGHT(D207,5)</f>
        <v>01253</v>
      </c>
      <c r="H207" s="13">
        <f>IFERROR(VLOOKUP($B207,'SAP 금액'!$A:$C,2,0),0)</f>
        <v>0</v>
      </c>
      <c r="I207" s="13">
        <f>IFERROR(VLOOKUP($B207,'SAP 금액'!$A:$C,3,0),0)</f>
        <v>0</v>
      </c>
      <c r="J207" s="13">
        <f>IFERROR(VLOOKUP(B207,'SAP 금액'!E:F,2,0),0)</f>
        <v>0</v>
      </c>
      <c r="K207" s="13">
        <f>VLOOKUP($B207,'국세청 금액'!$A:$C,2,0)</f>
        <v>64092756</v>
      </c>
      <c r="L207" s="13">
        <f>VLOOKUP($B207,'국세청 금액'!$A:$C,3,0)</f>
        <v>6409277</v>
      </c>
      <c r="M207" s="13">
        <f>VLOOKUP(B207,'국세청 금액'!A:F,6,0)</f>
        <v>6763013</v>
      </c>
      <c r="N207" s="14">
        <f>K207-H207</f>
        <v>64092756</v>
      </c>
      <c r="O207" s="14">
        <f>L207-I207</f>
        <v>6409277</v>
      </c>
      <c r="P207" s="14">
        <f>M207-J207</f>
        <v>6763013</v>
      </c>
      <c r="Q207" s="27" t="b">
        <f>AND(N207&lt;&gt;0,O207&lt;&gt;0)</f>
        <v>1</v>
      </c>
      <c r="R207" s="27" t="b">
        <f>P207&lt;&gt;0</f>
        <v>1</v>
      </c>
    </row>
    <row r="208" spans="2:18" ht="18" thickBot="1" x14ac:dyDescent="0.45">
      <c r="B208" s="33" t="s">
        <v>619</v>
      </c>
      <c r="C208" s="34" t="s">
        <v>620</v>
      </c>
      <c r="D208" s="35">
        <v>5208501005</v>
      </c>
      <c r="E208" s="27" t="str">
        <f>LEFT(D208,3)</f>
        <v>520</v>
      </c>
      <c r="F208" s="27" t="str">
        <f>MID(D208,4,2)</f>
        <v>85</v>
      </c>
      <c r="G208" s="27" t="str">
        <f>RIGHT(D208,5)</f>
        <v>01005</v>
      </c>
      <c r="H208" s="13">
        <f>IFERROR(VLOOKUP($B208,'SAP 금액'!$A:$C,2,0),0)</f>
        <v>0</v>
      </c>
      <c r="I208" s="13">
        <f>IFERROR(VLOOKUP($B208,'SAP 금액'!$A:$C,3,0),0)</f>
        <v>0</v>
      </c>
      <c r="J208" s="13">
        <f>IFERROR(VLOOKUP(B208,'SAP 금액'!E:F,2,0),0)</f>
        <v>0</v>
      </c>
      <c r="K208" s="13">
        <f>VLOOKUP($B208,'국세청 금액'!$A:$C,2,0)</f>
        <v>25526587</v>
      </c>
      <c r="L208" s="13">
        <f>VLOOKUP($B208,'국세청 금액'!$A:$C,3,0)</f>
        <v>2552656</v>
      </c>
      <c r="M208" s="13">
        <f>VLOOKUP(B208,'국세청 금액'!A:F,6,0)</f>
        <v>2530192</v>
      </c>
      <c r="N208" s="14">
        <f>K208-H208</f>
        <v>25526587</v>
      </c>
      <c r="O208" s="14">
        <f>L208-I208</f>
        <v>2552656</v>
      </c>
      <c r="P208" s="14">
        <f>M208-J208</f>
        <v>2530192</v>
      </c>
      <c r="Q208" s="27" t="b">
        <f>AND(N208&lt;&gt;0,O208&lt;&gt;0)</f>
        <v>1</v>
      </c>
      <c r="R208" s="27" t="b">
        <f>P208&lt;&gt;0</f>
        <v>1</v>
      </c>
    </row>
    <row r="209" spans="2:18" ht="18" thickBot="1" x14ac:dyDescent="0.45">
      <c r="B209" s="33" t="s">
        <v>621</v>
      </c>
      <c r="C209" s="34" t="s">
        <v>622</v>
      </c>
      <c r="D209" s="35">
        <v>4558501225</v>
      </c>
      <c r="E209" s="27" t="str">
        <f>LEFT(D209,3)</f>
        <v>455</v>
      </c>
      <c r="F209" s="27" t="str">
        <f>MID(D209,4,2)</f>
        <v>85</v>
      </c>
      <c r="G209" s="27" t="str">
        <f>RIGHT(D209,5)</f>
        <v>01225</v>
      </c>
      <c r="H209" s="13">
        <f>IFERROR(VLOOKUP($B209,'SAP 금액'!$A:$C,2,0),0)</f>
        <v>0</v>
      </c>
      <c r="I209" s="13">
        <f>IFERROR(VLOOKUP($B209,'SAP 금액'!$A:$C,3,0),0)</f>
        <v>0</v>
      </c>
      <c r="J209" s="13">
        <f>IFERROR(VLOOKUP(B209,'SAP 금액'!E:F,2,0),0)</f>
        <v>0</v>
      </c>
      <c r="K209" s="13">
        <f>VLOOKUP($B209,'국세청 금액'!$A:$C,2,0)</f>
        <v>19127731</v>
      </c>
      <c r="L209" s="13">
        <f>VLOOKUP($B209,'국세청 금액'!$A:$C,3,0)</f>
        <v>1912773</v>
      </c>
      <c r="M209" s="13">
        <f>VLOOKUP(B209,'국세청 금액'!A:F,6,0)</f>
        <v>5652583</v>
      </c>
      <c r="N209" s="14">
        <f>K209-H209</f>
        <v>19127731</v>
      </c>
      <c r="O209" s="14">
        <f>L209-I209</f>
        <v>1912773</v>
      </c>
      <c r="P209" s="14">
        <f>M209-J209</f>
        <v>5652583</v>
      </c>
      <c r="Q209" s="27" t="b">
        <f>AND(N209&lt;&gt;0,O209&lt;&gt;0)</f>
        <v>1</v>
      </c>
      <c r="R209" s="27" t="b">
        <f>P209&lt;&gt;0</f>
        <v>1</v>
      </c>
    </row>
    <row r="210" spans="2:18" ht="18" thickBot="1" x14ac:dyDescent="0.45">
      <c r="B210" s="33" t="s">
        <v>623</v>
      </c>
      <c r="C210" s="34" t="s">
        <v>624</v>
      </c>
      <c r="D210" s="35">
        <v>7398501201</v>
      </c>
      <c r="E210" s="27" t="str">
        <f>LEFT(D210,3)</f>
        <v>739</v>
      </c>
      <c r="F210" s="27" t="str">
        <f>MID(D210,4,2)</f>
        <v>85</v>
      </c>
      <c r="G210" s="27" t="str">
        <f>RIGHT(D210,5)</f>
        <v>01201</v>
      </c>
      <c r="H210" s="13">
        <f>IFERROR(VLOOKUP($B210,'SAP 금액'!$A:$C,2,0),0)</f>
        <v>0</v>
      </c>
      <c r="I210" s="13">
        <f>IFERROR(VLOOKUP($B210,'SAP 금액'!$A:$C,3,0),0)</f>
        <v>0</v>
      </c>
      <c r="J210" s="13">
        <f>IFERROR(VLOOKUP(B210,'SAP 금액'!E:F,2,0),0)</f>
        <v>0</v>
      </c>
      <c r="K210" s="13">
        <f>VLOOKUP($B210,'국세청 금액'!$A:$C,2,0)</f>
        <v>88257675</v>
      </c>
      <c r="L210" s="13">
        <f>VLOOKUP($B210,'국세청 금액'!$A:$C,3,0)</f>
        <v>8825767</v>
      </c>
      <c r="M210" s="13">
        <f>VLOOKUP(B210,'국세청 금액'!A:F,6,0)</f>
        <v>0</v>
      </c>
      <c r="N210" s="14">
        <f>K210-H210</f>
        <v>88257675</v>
      </c>
      <c r="O210" s="14">
        <f>L210-I210</f>
        <v>8825767</v>
      </c>
      <c r="P210" s="14">
        <f>M210-J210</f>
        <v>0</v>
      </c>
      <c r="Q210" s="27" t="b">
        <f>AND(N210&lt;&gt;0,O210&lt;&gt;0)</f>
        <v>1</v>
      </c>
      <c r="R210" s="27" t="b">
        <f>P210&lt;&gt;0</f>
        <v>0</v>
      </c>
    </row>
    <row r="211" spans="2:18" ht="18" thickBot="1" x14ac:dyDescent="0.45">
      <c r="B211" s="33" t="s">
        <v>625</v>
      </c>
      <c r="C211" s="34" t="s">
        <v>626</v>
      </c>
      <c r="D211" s="35">
        <v>1998501233</v>
      </c>
      <c r="E211" s="27" t="str">
        <f>LEFT(D211,3)</f>
        <v>199</v>
      </c>
      <c r="F211" s="27" t="str">
        <f>MID(D211,4,2)</f>
        <v>85</v>
      </c>
      <c r="G211" s="27" t="str">
        <f>RIGHT(D211,5)</f>
        <v>01233</v>
      </c>
      <c r="H211" s="13">
        <f>IFERROR(VLOOKUP($B211,'SAP 금액'!$A:$C,2,0),0)</f>
        <v>0</v>
      </c>
      <c r="I211" s="13">
        <f>IFERROR(VLOOKUP($B211,'SAP 금액'!$A:$C,3,0),0)</f>
        <v>0</v>
      </c>
      <c r="J211" s="13">
        <f>IFERROR(VLOOKUP(B211,'SAP 금액'!E:F,2,0),0)</f>
        <v>0</v>
      </c>
      <c r="K211" s="13">
        <f>VLOOKUP($B211,'국세청 금액'!$A:$C,2,0)</f>
        <v>43900562</v>
      </c>
      <c r="L211" s="13">
        <f>VLOOKUP($B211,'국세청 금액'!$A:$C,3,0)</f>
        <v>4390059</v>
      </c>
      <c r="M211" s="13">
        <f>VLOOKUP(B211,'국세청 금액'!A:F,6,0)</f>
        <v>2263160</v>
      </c>
      <c r="N211" s="14">
        <f>K211-H211</f>
        <v>43900562</v>
      </c>
      <c r="O211" s="14">
        <f>L211-I211</f>
        <v>4390059</v>
      </c>
      <c r="P211" s="14">
        <f>M211-J211</f>
        <v>2263160</v>
      </c>
      <c r="Q211" s="27" t="b">
        <f>AND(N211&lt;&gt;0,O211&lt;&gt;0)</f>
        <v>1</v>
      </c>
      <c r="R211" s="27" t="b">
        <f>P211&lt;&gt;0</f>
        <v>1</v>
      </c>
    </row>
    <row r="212" spans="2:18" ht="18" thickBot="1" x14ac:dyDescent="0.45">
      <c r="B212" s="33" t="s">
        <v>627</v>
      </c>
      <c r="C212" s="34" t="s">
        <v>628</v>
      </c>
      <c r="D212" s="35">
        <v>8308500941</v>
      </c>
      <c r="E212" s="27" t="str">
        <f>LEFT(D212,3)</f>
        <v>830</v>
      </c>
      <c r="F212" s="27" t="str">
        <f>MID(D212,4,2)</f>
        <v>85</v>
      </c>
      <c r="G212" s="27" t="str">
        <f>RIGHT(D212,5)</f>
        <v>00941</v>
      </c>
      <c r="H212" s="13">
        <f>IFERROR(VLOOKUP($B212,'SAP 금액'!$A:$C,2,0),0)</f>
        <v>0</v>
      </c>
      <c r="I212" s="13">
        <f>IFERROR(VLOOKUP($B212,'SAP 금액'!$A:$C,3,0),0)</f>
        <v>0</v>
      </c>
      <c r="J212" s="13">
        <f>IFERROR(VLOOKUP(B212,'SAP 금액'!E:F,2,0),0)</f>
        <v>0</v>
      </c>
      <c r="K212" s="13">
        <f>VLOOKUP($B212,'국세청 금액'!$A:$C,2,0)</f>
        <v>69720332</v>
      </c>
      <c r="L212" s="13">
        <f>VLOOKUP($B212,'국세청 금액'!$A:$C,3,0)</f>
        <v>6971613</v>
      </c>
      <c r="M212" s="13">
        <f>VLOOKUP(B212,'국세청 금액'!A:F,6,0)</f>
        <v>-12986480</v>
      </c>
      <c r="N212" s="14">
        <f>K212-H212</f>
        <v>69720332</v>
      </c>
      <c r="O212" s="14">
        <f>L212-I212</f>
        <v>6971613</v>
      </c>
      <c r="P212" s="14">
        <f>M212-J212</f>
        <v>-12986480</v>
      </c>
      <c r="Q212" s="27" t="b">
        <f>AND(N212&lt;&gt;0,O212&lt;&gt;0)</f>
        <v>1</v>
      </c>
      <c r="R212" s="27" t="b">
        <f>P212&lt;&gt;0</f>
        <v>1</v>
      </c>
    </row>
    <row r="213" spans="2:18" ht="18" thickBot="1" x14ac:dyDescent="0.45">
      <c r="B213" s="33" t="s">
        <v>629</v>
      </c>
      <c r="C213" s="34" t="s">
        <v>630</v>
      </c>
      <c r="D213" s="35">
        <v>1568501269</v>
      </c>
      <c r="E213" s="27" t="str">
        <f>LEFT(D213,3)</f>
        <v>156</v>
      </c>
      <c r="F213" s="27" t="str">
        <f>MID(D213,4,2)</f>
        <v>85</v>
      </c>
      <c r="G213" s="27" t="str">
        <f>RIGHT(D213,5)</f>
        <v>01269</v>
      </c>
      <c r="H213" s="13">
        <f>IFERROR(VLOOKUP($B213,'SAP 금액'!$A:$C,2,0),0)</f>
        <v>0</v>
      </c>
      <c r="I213" s="13">
        <f>IFERROR(VLOOKUP($B213,'SAP 금액'!$A:$C,3,0),0)</f>
        <v>0</v>
      </c>
      <c r="J213" s="13">
        <f>IFERROR(VLOOKUP(B213,'SAP 금액'!E:F,2,0),0)</f>
        <v>0</v>
      </c>
      <c r="K213" s="13">
        <f>VLOOKUP($B213,'국세청 금액'!$A:$C,2,0)</f>
        <v>69720332</v>
      </c>
      <c r="L213" s="13">
        <f>VLOOKUP($B213,'국세청 금액'!$A:$C,3,0)</f>
        <v>0</v>
      </c>
      <c r="M213" s="13">
        <f>VLOOKUP(B213,'국세청 금액'!A:F,6,0)</f>
        <v>-12986480</v>
      </c>
      <c r="N213" s="14">
        <f>K213-H213</f>
        <v>69720332</v>
      </c>
      <c r="O213" s="14">
        <f>L213-I213</f>
        <v>0</v>
      </c>
      <c r="P213" s="14">
        <f>M213-J213</f>
        <v>-12986480</v>
      </c>
      <c r="Q213" s="27" t="b">
        <f>AND(N213&lt;&gt;0,O213&lt;&gt;0)</f>
        <v>0</v>
      </c>
      <c r="R213" s="27" t="b">
        <f>P213&lt;&gt;0</f>
        <v>1</v>
      </c>
    </row>
    <row r="214" spans="2:18" ht="18" thickBot="1" x14ac:dyDescent="0.45">
      <c r="B214" s="33" t="s">
        <v>631</v>
      </c>
      <c r="C214" s="34" t="s">
        <v>632</v>
      </c>
      <c r="D214" s="35">
        <v>6978500932</v>
      </c>
      <c r="E214" s="27" t="str">
        <f>LEFT(D214,3)</f>
        <v>697</v>
      </c>
      <c r="F214" s="27" t="str">
        <f>MID(D214,4,2)</f>
        <v>85</v>
      </c>
      <c r="G214" s="27" t="str">
        <f>RIGHT(D214,5)</f>
        <v>00932</v>
      </c>
      <c r="H214" s="13">
        <f>IFERROR(VLOOKUP($B214,'SAP 금액'!$A:$C,2,0),0)</f>
        <v>0</v>
      </c>
      <c r="I214" s="13">
        <f>IFERROR(VLOOKUP($B214,'SAP 금액'!$A:$C,3,0),0)</f>
        <v>0</v>
      </c>
      <c r="J214" s="13">
        <f>IFERROR(VLOOKUP(B214,'SAP 금액'!E:F,2,0),0)</f>
        <v>0</v>
      </c>
      <c r="K214" s="13">
        <f>VLOOKUP($B214,'국세청 금액'!$A:$C,2,0)</f>
        <v>0</v>
      </c>
      <c r="L214" s="13">
        <f>VLOOKUP($B214,'국세청 금액'!$A:$C,3,0)</f>
        <v>0</v>
      </c>
      <c r="M214" s="13">
        <f>VLOOKUP(B214,'국세청 금액'!A:F,6,0)</f>
        <v>0</v>
      </c>
      <c r="N214" s="14">
        <f>K214-H214</f>
        <v>0</v>
      </c>
      <c r="O214" s="14">
        <f>L214-I214</f>
        <v>0</v>
      </c>
      <c r="P214" s="14">
        <f>M214-J214</f>
        <v>0</v>
      </c>
      <c r="Q214" s="27" t="b">
        <f>AND(N214&lt;&gt;0,O214&lt;&gt;0)</f>
        <v>0</v>
      </c>
      <c r="R214" s="27" t="b">
        <f>P214&lt;&gt;0</f>
        <v>0</v>
      </c>
    </row>
    <row r="215" spans="2:18" ht="18" thickBot="1" x14ac:dyDescent="0.45">
      <c r="B215" s="33" t="s">
        <v>633</v>
      </c>
      <c r="C215" s="34" t="s">
        <v>634</v>
      </c>
      <c r="D215" s="35">
        <v>1088529405</v>
      </c>
      <c r="E215" s="27" t="str">
        <f>LEFT(D215,3)</f>
        <v>108</v>
      </c>
      <c r="F215" s="27" t="str">
        <f>MID(D215,4,2)</f>
        <v>85</v>
      </c>
      <c r="G215" s="27" t="str">
        <f>RIGHT(D215,5)</f>
        <v>29405</v>
      </c>
      <c r="H215" s="13">
        <f>IFERROR(VLOOKUP($B215,'SAP 금액'!$A:$C,2,0),0)</f>
        <v>0</v>
      </c>
      <c r="I215" s="13">
        <f>IFERROR(VLOOKUP($B215,'SAP 금액'!$A:$C,3,0),0)</f>
        <v>0</v>
      </c>
      <c r="J215" s="13">
        <f>IFERROR(VLOOKUP(B215,'SAP 금액'!E:F,2,0),0)</f>
        <v>0</v>
      </c>
      <c r="K215" s="13">
        <f>VLOOKUP($B215,'국세청 금액'!$A:$C,2,0)</f>
        <v>0</v>
      </c>
      <c r="L215" s="13">
        <f>VLOOKUP($B215,'국세청 금액'!$A:$C,3,0)</f>
        <v>0</v>
      </c>
      <c r="M215" s="13">
        <f>VLOOKUP(B215,'국세청 금액'!A:F,6,0)</f>
        <v>0</v>
      </c>
      <c r="N215" s="14">
        <f>K215-H215</f>
        <v>0</v>
      </c>
      <c r="O215" s="14">
        <f>L215-I215</f>
        <v>0</v>
      </c>
      <c r="P215" s="14">
        <f>M215-J215</f>
        <v>0</v>
      </c>
      <c r="Q215" s="27" t="b">
        <f>AND(N215&lt;&gt;0,O215&lt;&gt;0)</f>
        <v>0</v>
      </c>
      <c r="R215" s="27" t="b">
        <f>P215&lt;&gt;0</f>
        <v>0</v>
      </c>
    </row>
    <row r="216" spans="2:18" ht="18" thickBot="1" x14ac:dyDescent="0.45">
      <c r="B216" s="33" t="s">
        <v>635</v>
      </c>
      <c r="C216" s="34" t="s">
        <v>636</v>
      </c>
      <c r="D216" s="35">
        <v>5958501163</v>
      </c>
      <c r="E216" s="27" t="str">
        <f>LEFT(D216,3)</f>
        <v>595</v>
      </c>
      <c r="F216" s="27" t="str">
        <f>MID(D216,4,2)</f>
        <v>85</v>
      </c>
      <c r="G216" s="27" t="str">
        <f>RIGHT(D216,5)</f>
        <v>01163</v>
      </c>
      <c r="H216" s="13">
        <f>IFERROR(VLOOKUP($B216,'SAP 금액'!$A:$C,2,0),0)</f>
        <v>0</v>
      </c>
      <c r="I216" s="13">
        <f>IFERROR(VLOOKUP($B216,'SAP 금액'!$A:$C,3,0),0)</f>
        <v>0</v>
      </c>
      <c r="J216" s="13">
        <f>IFERROR(VLOOKUP(B216,'SAP 금액'!E:F,2,0),0)</f>
        <v>0</v>
      </c>
      <c r="K216" s="13">
        <f>VLOOKUP($B216,'국세청 금액'!$A:$C,2,0)</f>
        <v>16768789</v>
      </c>
      <c r="L216" s="13">
        <f>VLOOKUP($B216,'국세청 금액'!$A:$C,3,0)</f>
        <v>1676873</v>
      </c>
      <c r="M216" s="13">
        <f>VLOOKUP(B216,'국세청 금액'!A:F,6,0)</f>
        <v>7669492</v>
      </c>
      <c r="N216" s="14">
        <f>K216-H216</f>
        <v>16768789</v>
      </c>
      <c r="O216" s="14">
        <f>L216-I216</f>
        <v>1676873</v>
      </c>
      <c r="P216" s="14">
        <f>M216-J216</f>
        <v>7669492</v>
      </c>
      <c r="Q216" s="27" t="b">
        <f>AND(N216&lt;&gt;0,O216&lt;&gt;0)</f>
        <v>1</v>
      </c>
      <c r="R216" s="27" t="b">
        <f>P216&lt;&gt;0</f>
        <v>1</v>
      </c>
    </row>
    <row r="217" spans="2:18" ht="18" thickBot="1" x14ac:dyDescent="0.45">
      <c r="B217" s="33" t="s">
        <v>637</v>
      </c>
      <c r="C217" s="34" t="s">
        <v>638</v>
      </c>
      <c r="D217" s="35">
        <v>1688501127</v>
      </c>
      <c r="E217" s="27" t="str">
        <f>LEFT(D217,3)</f>
        <v>168</v>
      </c>
      <c r="F217" s="27" t="str">
        <f>MID(D217,4,2)</f>
        <v>85</v>
      </c>
      <c r="G217" s="27" t="str">
        <f>RIGHT(D217,5)</f>
        <v>01127</v>
      </c>
      <c r="H217" s="13">
        <f>IFERROR(VLOOKUP($B217,'SAP 금액'!$A:$C,2,0),0)</f>
        <v>0</v>
      </c>
      <c r="I217" s="13">
        <f>IFERROR(VLOOKUP($B217,'SAP 금액'!$A:$C,3,0),0)</f>
        <v>0</v>
      </c>
      <c r="J217" s="13">
        <f>IFERROR(VLOOKUP(B217,'SAP 금액'!E:F,2,0),0)</f>
        <v>0</v>
      </c>
      <c r="K217" s="13">
        <f>VLOOKUP($B217,'국세청 금액'!$A:$C,2,0)</f>
        <v>93608312</v>
      </c>
      <c r="L217" s="13">
        <f>VLOOKUP($B217,'국세청 금액'!$A:$C,3,0)</f>
        <v>9360818</v>
      </c>
      <c r="M217" s="13">
        <f>VLOOKUP(B217,'국세청 금액'!A:F,6,0)</f>
        <v>2654823</v>
      </c>
      <c r="N217" s="14">
        <f>K217-H217</f>
        <v>93608312</v>
      </c>
      <c r="O217" s="14">
        <f>L217-I217</f>
        <v>9360818</v>
      </c>
      <c r="P217" s="14">
        <f>M217-J217</f>
        <v>2654823</v>
      </c>
      <c r="Q217" s="27" t="b">
        <f>AND(N217&lt;&gt;0,O217&lt;&gt;0)</f>
        <v>1</v>
      </c>
      <c r="R217" s="27" t="b">
        <f>P217&lt;&gt;0</f>
        <v>1</v>
      </c>
    </row>
    <row r="218" spans="2:18" ht="18" thickBot="1" x14ac:dyDescent="0.45">
      <c r="B218" s="33" t="s">
        <v>639</v>
      </c>
      <c r="C218" s="34" t="s">
        <v>640</v>
      </c>
      <c r="D218" s="35">
        <v>5328500902</v>
      </c>
      <c r="E218" s="27" t="str">
        <f>LEFT(D218,3)</f>
        <v>532</v>
      </c>
      <c r="F218" s="27" t="str">
        <f>MID(D218,4,2)</f>
        <v>85</v>
      </c>
      <c r="G218" s="27" t="str">
        <f>RIGHT(D218,5)</f>
        <v>00902</v>
      </c>
      <c r="H218" s="13">
        <f>IFERROR(VLOOKUP($B218,'SAP 금액'!$A:$C,2,0),0)</f>
        <v>0</v>
      </c>
      <c r="I218" s="13">
        <f>IFERROR(VLOOKUP($B218,'SAP 금액'!$A:$C,3,0),0)</f>
        <v>0</v>
      </c>
      <c r="J218" s="13">
        <f>IFERROR(VLOOKUP(B218,'SAP 금액'!E:F,2,0),0)</f>
        <v>0</v>
      </c>
      <c r="K218" s="13">
        <f>VLOOKUP($B218,'국세청 금액'!$A:$C,2,0)</f>
        <v>0</v>
      </c>
      <c r="L218" s="13">
        <f>VLOOKUP($B218,'국세청 금액'!$A:$C,3,0)</f>
        <v>0</v>
      </c>
      <c r="M218" s="13">
        <f>VLOOKUP(B218,'국세청 금액'!A:F,6,0)</f>
        <v>0</v>
      </c>
      <c r="N218" s="14">
        <f>K218-H218</f>
        <v>0</v>
      </c>
      <c r="O218" s="14">
        <f>L218-I218</f>
        <v>0</v>
      </c>
      <c r="P218" s="14">
        <f>M218-J218</f>
        <v>0</v>
      </c>
      <c r="Q218" s="27" t="b">
        <f>AND(N218&lt;&gt;0,O218&lt;&gt;0)</f>
        <v>0</v>
      </c>
      <c r="R218" s="27" t="b">
        <f>P218&lt;&gt;0</f>
        <v>0</v>
      </c>
    </row>
    <row r="219" spans="2:18" ht="18" thickBot="1" x14ac:dyDescent="0.45">
      <c r="B219" s="33" t="s">
        <v>641</v>
      </c>
      <c r="C219" s="34" t="s">
        <v>642</v>
      </c>
      <c r="D219" s="35">
        <v>8178501286</v>
      </c>
      <c r="E219" s="27" t="str">
        <f>LEFT(D219,3)</f>
        <v>817</v>
      </c>
      <c r="F219" s="27" t="str">
        <f>MID(D219,4,2)</f>
        <v>85</v>
      </c>
      <c r="G219" s="27" t="str">
        <f>RIGHT(D219,5)</f>
        <v>01286</v>
      </c>
      <c r="H219" s="13">
        <f>IFERROR(VLOOKUP($B219,'SAP 금액'!$A:$C,2,0),0)</f>
        <v>0</v>
      </c>
      <c r="I219" s="13">
        <f>IFERROR(VLOOKUP($B219,'SAP 금액'!$A:$C,3,0),0)</f>
        <v>0</v>
      </c>
      <c r="J219" s="13">
        <f>IFERROR(VLOOKUP(B219,'SAP 금액'!E:F,2,0),0)</f>
        <v>0</v>
      </c>
      <c r="K219" s="13">
        <f>VLOOKUP($B219,'국세청 금액'!$A:$C,2,0)</f>
        <v>83544359</v>
      </c>
      <c r="L219" s="13">
        <f>VLOOKUP($B219,'국세청 금액'!$A:$C,3,0)</f>
        <v>8354432</v>
      </c>
      <c r="M219" s="13">
        <f>VLOOKUP(B219,'국세청 금액'!A:F,6,0)</f>
        <v>4468907</v>
      </c>
      <c r="N219" s="14">
        <f>K219-H219</f>
        <v>83544359</v>
      </c>
      <c r="O219" s="14">
        <f>L219-I219</f>
        <v>8354432</v>
      </c>
      <c r="P219" s="14">
        <f>M219-J219</f>
        <v>4468907</v>
      </c>
      <c r="Q219" s="27" t="b">
        <f>AND(N219&lt;&gt;0,O219&lt;&gt;0)</f>
        <v>1</v>
      </c>
      <c r="R219" s="27" t="b">
        <f>P219&lt;&gt;0</f>
        <v>1</v>
      </c>
    </row>
    <row r="220" spans="2:18" ht="18" thickBot="1" x14ac:dyDescent="0.45">
      <c r="B220" s="33" t="s">
        <v>643</v>
      </c>
      <c r="C220" s="34" t="s">
        <v>644</v>
      </c>
      <c r="D220" s="35">
        <v>5278501141</v>
      </c>
      <c r="E220" s="27" t="str">
        <f>LEFT(D220,3)</f>
        <v>527</v>
      </c>
      <c r="F220" s="27" t="str">
        <f>MID(D220,4,2)</f>
        <v>85</v>
      </c>
      <c r="G220" s="27" t="str">
        <f>RIGHT(D220,5)</f>
        <v>01141</v>
      </c>
      <c r="H220" s="13">
        <f>IFERROR(VLOOKUP($B220,'SAP 금액'!$A:$C,2,0),0)</f>
        <v>0</v>
      </c>
      <c r="I220" s="13">
        <f>IFERROR(VLOOKUP($B220,'SAP 금액'!$A:$C,3,0),0)</f>
        <v>0</v>
      </c>
      <c r="J220" s="13">
        <f>IFERROR(VLOOKUP(B220,'SAP 금액'!E:F,2,0),0)</f>
        <v>0</v>
      </c>
      <c r="K220" s="13">
        <f>VLOOKUP($B220,'국세청 금액'!$A:$C,2,0)</f>
        <v>89014427</v>
      </c>
      <c r="L220" s="13">
        <f>VLOOKUP($B220,'국세청 금액'!$A:$C,3,0)</f>
        <v>8901439</v>
      </c>
      <c r="M220" s="13">
        <f>VLOOKUP(B220,'국세청 금액'!A:F,6,0)</f>
        <v>18252442</v>
      </c>
      <c r="N220" s="14">
        <f>K220-H220</f>
        <v>89014427</v>
      </c>
      <c r="O220" s="14">
        <f>L220-I220</f>
        <v>8901439</v>
      </c>
      <c r="P220" s="14">
        <f>M220-J220</f>
        <v>18252442</v>
      </c>
      <c r="Q220" s="27" t="b">
        <f>AND(N220&lt;&gt;0,O220&lt;&gt;0)</f>
        <v>1</v>
      </c>
      <c r="R220" s="27" t="b">
        <f>P220&lt;&gt;0</f>
        <v>1</v>
      </c>
    </row>
    <row r="221" spans="2:18" ht="18" thickBot="1" x14ac:dyDescent="0.45">
      <c r="B221" s="36" t="s">
        <v>645</v>
      </c>
      <c r="C221" s="37" t="s">
        <v>646</v>
      </c>
      <c r="D221" s="38">
        <v>5628501222</v>
      </c>
      <c r="E221" s="27" t="str">
        <f>LEFT(D221,3)</f>
        <v>562</v>
      </c>
      <c r="F221" s="27" t="str">
        <f>MID(D221,4,2)</f>
        <v>85</v>
      </c>
      <c r="G221" s="27" t="str">
        <f>RIGHT(D221,5)</f>
        <v>01222</v>
      </c>
      <c r="H221" s="13">
        <f>IFERROR(VLOOKUP($B221,'SAP 금액'!$A:$C,2,0),0)</f>
        <v>0</v>
      </c>
      <c r="I221" s="13">
        <f>IFERROR(VLOOKUP($B221,'SAP 금액'!$A:$C,3,0),0)</f>
        <v>0</v>
      </c>
      <c r="J221" s="13">
        <f>IFERROR(VLOOKUP(B221,'SAP 금액'!E:F,2,0),0)</f>
        <v>0</v>
      </c>
      <c r="K221" s="13">
        <f>VLOOKUP($B221,'국세청 금액'!$A:$C,2,0)</f>
        <v>29562604</v>
      </c>
      <c r="L221" s="13">
        <f>VLOOKUP($B221,'국세청 금액'!$A:$C,3,0)</f>
        <v>2955243</v>
      </c>
      <c r="M221" s="13">
        <f>VLOOKUP(B221,'국세청 금액'!A:F,6,0)</f>
        <v>141000</v>
      </c>
      <c r="N221" s="14">
        <f>K221-H221</f>
        <v>29562604</v>
      </c>
      <c r="O221" s="14">
        <f>L221-I221</f>
        <v>2955243</v>
      </c>
      <c r="P221" s="14">
        <f>M221-J221</f>
        <v>141000</v>
      </c>
      <c r="Q221" s="27" t="b">
        <f>AND(N221&lt;&gt;0,O221&lt;&gt;0)</f>
        <v>1</v>
      </c>
      <c r="R221" s="27" t="b">
        <f>P221&lt;&gt;0</f>
        <v>1</v>
      </c>
    </row>
    <row r="222" spans="2:18" ht="18" thickBot="1" x14ac:dyDescent="0.45">
      <c r="B222" s="33" t="s">
        <v>647</v>
      </c>
      <c r="C222" s="34" t="s">
        <v>648</v>
      </c>
      <c r="D222" s="35">
        <v>1908501139</v>
      </c>
      <c r="E222" s="27" t="str">
        <f>LEFT(D222,3)</f>
        <v>190</v>
      </c>
      <c r="F222" s="27" t="str">
        <f>MID(D222,4,2)</f>
        <v>85</v>
      </c>
      <c r="G222" s="27" t="str">
        <f>RIGHT(D222,5)</f>
        <v>01139</v>
      </c>
      <c r="H222" s="13">
        <f>IFERROR(VLOOKUP($B222,'SAP 금액'!$A:$C,2,0),0)</f>
        <v>0</v>
      </c>
      <c r="I222" s="13">
        <f>IFERROR(VLOOKUP($B222,'SAP 금액'!$A:$C,3,0),0)</f>
        <v>0</v>
      </c>
      <c r="J222" s="13">
        <f>IFERROR(VLOOKUP(B222,'SAP 금액'!E:F,2,0),0)</f>
        <v>0</v>
      </c>
      <c r="K222" s="13">
        <f>VLOOKUP($B222,'국세청 금액'!$A:$C,2,0)</f>
        <v>17240346</v>
      </c>
      <c r="L222" s="13">
        <f>VLOOKUP($B222,'국세청 금액'!$A:$C,3,0)</f>
        <v>1723969</v>
      </c>
      <c r="M222" s="13">
        <f>VLOOKUP(B222,'국세청 금액'!A:F,6,0)</f>
        <v>0</v>
      </c>
      <c r="N222" s="14">
        <f>K222-H222</f>
        <v>17240346</v>
      </c>
      <c r="O222" s="14">
        <f>L222-I222</f>
        <v>1723969</v>
      </c>
      <c r="P222" s="14">
        <f>M222-J222</f>
        <v>0</v>
      </c>
      <c r="Q222" s="27" t="b">
        <f>AND(N222&lt;&gt;0,O222&lt;&gt;0)</f>
        <v>1</v>
      </c>
      <c r="R222" s="27" t="b">
        <f>P222&lt;&gt;0</f>
        <v>0</v>
      </c>
    </row>
    <row r="223" spans="2:18" ht="18" thickBot="1" x14ac:dyDescent="0.45">
      <c r="B223" s="33" t="s">
        <v>649</v>
      </c>
      <c r="C223" s="34" t="s">
        <v>650</v>
      </c>
      <c r="D223" s="35">
        <v>8148501012</v>
      </c>
      <c r="E223" s="27" t="str">
        <f>LEFT(D223,3)</f>
        <v>814</v>
      </c>
      <c r="F223" s="27" t="str">
        <f>MID(D223,4,2)</f>
        <v>85</v>
      </c>
      <c r="G223" s="27" t="str">
        <f>RIGHT(D223,5)</f>
        <v>01012</v>
      </c>
      <c r="H223" s="13">
        <f>IFERROR(VLOOKUP($B223,'SAP 금액'!$A:$C,2,0),0)</f>
        <v>0</v>
      </c>
      <c r="I223" s="13">
        <f>IFERROR(VLOOKUP($B223,'SAP 금액'!$A:$C,3,0),0)</f>
        <v>0</v>
      </c>
      <c r="J223" s="13">
        <f>IFERROR(VLOOKUP(B223,'SAP 금액'!E:F,2,0),0)</f>
        <v>0</v>
      </c>
      <c r="K223" s="13">
        <f>VLOOKUP($B223,'국세청 금액'!$A:$C,2,0)</f>
        <v>127760833</v>
      </c>
      <c r="L223" s="13">
        <f>VLOOKUP($B223,'국세청 금액'!$A:$C,3,0)</f>
        <v>12775828</v>
      </c>
      <c r="M223" s="13">
        <f>VLOOKUP(B223,'국세청 금액'!A:F,6,0)</f>
        <v>0</v>
      </c>
      <c r="N223" s="14">
        <f>K223-H223</f>
        <v>127760833</v>
      </c>
      <c r="O223" s="14">
        <f>L223-I223</f>
        <v>12775828</v>
      </c>
      <c r="P223" s="14">
        <f>M223-J223</f>
        <v>0</v>
      </c>
      <c r="Q223" s="27" t="b">
        <f>AND(N223&lt;&gt;0,O223&lt;&gt;0)</f>
        <v>1</v>
      </c>
      <c r="R223" s="27" t="b">
        <f>P223&lt;&gt;0</f>
        <v>0</v>
      </c>
    </row>
    <row r="224" spans="2:18" ht="18" thickBot="1" x14ac:dyDescent="0.45">
      <c r="B224" s="33" t="s">
        <v>651</v>
      </c>
      <c r="C224" s="34" t="s">
        <v>652</v>
      </c>
      <c r="D224" s="35">
        <v>1428526771</v>
      </c>
      <c r="E224" s="27" t="str">
        <f>LEFT(D224,3)</f>
        <v>142</v>
      </c>
      <c r="F224" s="27" t="str">
        <f>MID(D224,4,2)</f>
        <v>85</v>
      </c>
      <c r="G224" s="27" t="str">
        <f>RIGHT(D224,5)</f>
        <v>26771</v>
      </c>
      <c r="H224" s="13">
        <f>IFERROR(VLOOKUP($B224,'SAP 금액'!$A:$C,2,0),0)</f>
        <v>0</v>
      </c>
      <c r="I224" s="13">
        <f>IFERROR(VLOOKUP($B224,'SAP 금액'!$A:$C,3,0),0)</f>
        <v>0</v>
      </c>
      <c r="J224" s="13">
        <f>IFERROR(VLOOKUP(B224,'SAP 금액'!E:F,2,0),0)</f>
        <v>0</v>
      </c>
      <c r="K224" s="13">
        <f>VLOOKUP($B224,'국세청 금액'!$A:$C,2,0)</f>
        <v>0</v>
      </c>
      <c r="L224" s="13">
        <f>VLOOKUP($B224,'국세청 금액'!$A:$C,3,0)</f>
        <v>0</v>
      </c>
      <c r="M224" s="13">
        <f>VLOOKUP(B224,'국세청 금액'!A:F,6,0)</f>
        <v>0</v>
      </c>
      <c r="N224" s="14">
        <f>K224-H224</f>
        <v>0</v>
      </c>
      <c r="O224" s="14">
        <f>L224-I224</f>
        <v>0</v>
      </c>
      <c r="P224" s="14">
        <f>M224-J224</f>
        <v>0</v>
      </c>
      <c r="Q224" s="27" t="b">
        <f>AND(N224&lt;&gt;0,O224&lt;&gt;0)</f>
        <v>0</v>
      </c>
      <c r="R224" s="27" t="b">
        <f>P224&lt;&gt;0</f>
        <v>0</v>
      </c>
    </row>
    <row r="225" spans="2:18" ht="18" thickBot="1" x14ac:dyDescent="0.45">
      <c r="B225" s="33" t="s">
        <v>653</v>
      </c>
      <c r="C225" s="34" t="s">
        <v>654</v>
      </c>
      <c r="D225" s="35">
        <v>5118508101</v>
      </c>
      <c r="E225" s="27" t="str">
        <f>LEFT(D225,3)</f>
        <v>511</v>
      </c>
      <c r="F225" s="27" t="str">
        <f>MID(D225,4,2)</f>
        <v>85</v>
      </c>
      <c r="G225" s="27" t="str">
        <f>RIGHT(D225,5)</f>
        <v>08101</v>
      </c>
      <c r="H225" s="13">
        <f>IFERROR(VLOOKUP($B225,'SAP 금액'!$A:$C,2,0),0)</f>
        <v>0</v>
      </c>
      <c r="I225" s="13">
        <f>IFERROR(VLOOKUP($B225,'SAP 금액'!$A:$C,3,0),0)</f>
        <v>0</v>
      </c>
      <c r="J225" s="13">
        <f>IFERROR(VLOOKUP(B225,'SAP 금액'!E:F,2,0),0)</f>
        <v>0</v>
      </c>
      <c r="K225" s="13">
        <f>VLOOKUP($B225,'국세청 금액'!$A:$C,2,0)</f>
        <v>40416834</v>
      </c>
      <c r="L225" s="13">
        <f>VLOOKUP($B225,'국세청 금액'!$A:$C,3,0)</f>
        <v>4041666</v>
      </c>
      <c r="M225" s="13">
        <f>VLOOKUP(B225,'국세청 금액'!A:F,6,0)</f>
        <v>3742469</v>
      </c>
      <c r="N225" s="14">
        <f>K225-H225</f>
        <v>40416834</v>
      </c>
      <c r="O225" s="14">
        <f>L225-I225</f>
        <v>4041666</v>
      </c>
      <c r="P225" s="14">
        <f>M225-J225</f>
        <v>3742469</v>
      </c>
      <c r="Q225" s="27" t="b">
        <f>AND(N225&lt;&gt;0,O225&lt;&gt;0)</f>
        <v>1</v>
      </c>
      <c r="R225" s="27" t="b">
        <f>P225&lt;&gt;0</f>
        <v>1</v>
      </c>
    </row>
    <row r="226" spans="2:18" ht="18" thickBot="1" x14ac:dyDescent="0.45">
      <c r="B226" s="33" t="s">
        <v>655</v>
      </c>
      <c r="C226" s="34" t="s">
        <v>656</v>
      </c>
      <c r="D226" s="35">
        <v>6088538122</v>
      </c>
      <c r="E226" s="27" t="str">
        <f>LEFT(D226,3)</f>
        <v>608</v>
      </c>
      <c r="F226" s="27" t="str">
        <f>MID(D226,4,2)</f>
        <v>85</v>
      </c>
      <c r="G226" s="27" t="str">
        <f>RIGHT(D226,5)</f>
        <v>38122</v>
      </c>
      <c r="H226" s="13">
        <f>IFERROR(VLOOKUP($B226,'SAP 금액'!$A:$C,2,0),0)</f>
        <v>0</v>
      </c>
      <c r="I226" s="13">
        <f>IFERROR(VLOOKUP($B226,'SAP 금액'!$A:$C,3,0),0)</f>
        <v>0</v>
      </c>
      <c r="J226" s="13">
        <f>IFERROR(VLOOKUP(B226,'SAP 금액'!E:F,2,0),0)</f>
        <v>0</v>
      </c>
      <c r="K226" s="13">
        <f>VLOOKUP($B226,'국세청 금액'!$A:$C,2,0)</f>
        <v>18118851</v>
      </c>
      <c r="L226" s="13">
        <f>VLOOKUP($B226,'국세청 금액'!$A:$C,3,0)</f>
        <v>1811786</v>
      </c>
      <c r="M226" s="13">
        <f>VLOOKUP(B226,'국세청 금액'!A:F,6,0)</f>
        <v>0</v>
      </c>
      <c r="N226" s="14">
        <f>K226-H226</f>
        <v>18118851</v>
      </c>
      <c r="O226" s="14">
        <f>L226-I226</f>
        <v>1811786</v>
      </c>
      <c r="P226" s="14">
        <f>M226-J226</f>
        <v>0</v>
      </c>
      <c r="Q226" s="27" t="b">
        <f>AND(N226&lt;&gt;0,O226&lt;&gt;0)</f>
        <v>1</v>
      </c>
      <c r="R226" s="27" t="b">
        <f>P226&lt;&gt;0</f>
        <v>0</v>
      </c>
    </row>
    <row r="227" spans="2:18" ht="18" thickBot="1" x14ac:dyDescent="0.45">
      <c r="B227" s="33" t="s">
        <v>657</v>
      </c>
      <c r="C227" s="34" t="s">
        <v>658</v>
      </c>
      <c r="D227" s="35">
        <v>8698501249</v>
      </c>
      <c r="E227" s="27" t="str">
        <f>LEFT(D227,3)</f>
        <v>869</v>
      </c>
      <c r="F227" s="27" t="str">
        <f>MID(D227,4,2)</f>
        <v>85</v>
      </c>
      <c r="G227" s="27" t="str">
        <f>RIGHT(D227,5)</f>
        <v>01249</v>
      </c>
      <c r="H227" s="13">
        <f>IFERROR(VLOOKUP($B227,'SAP 금액'!$A:$C,2,0),0)</f>
        <v>0</v>
      </c>
      <c r="I227" s="13">
        <f>IFERROR(VLOOKUP($B227,'SAP 금액'!$A:$C,3,0),0)</f>
        <v>0</v>
      </c>
      <c r="J227" s="13">
        <f>IFERROR(VLOOKUP(B227,'SAP 금액'!E:F,2,0),0)</f>
        <v>0</v>
      </c>
      <c r="K227" s="13">
        <f>VLOOKUP($B227,'국세청 금액'!$A:$C,2,0)</f>
        <v>26919606</v>
      </c>
      <c r="L227" s="13">
        <f>VLOOKUP($B227,'국세청 금액'!$A:$C,3,0)</f>
        <v>2691681</v>
      </c>
      <c r="M227" s="13">
        <f>VLOOKUP(B227,'국세청 금액'!A:F,6,0)</f>
        <v>0</v>
      </c>
      <c r="N227" s="14">
        <f>K227-H227</f>
        <v>26919606</v>
      </c>
      <c r="O227" s="14">
        <f>L227-I227</f>
        <v>2691681</v>
      </c>
      <c r="P227" s="14">
        <f>M227-J227</f>
        <v>0</v>
      </c>
      <c r="Q227" s="27" t="b">
        <f>AND(N227&lt;&gt;0,O227&lt;&gt;0)</f>
        <v>1</v>
      </c>
      <c r="R227" s="27" t="b">
        <f>P227&lt;&gt;0</f>
        <v>0</v>
      </c>
    </row>
    <row r="228" spans="2:18" ht="18" thickBot="1" x14ac:dyDescent="0.45">
      <c r="B228" s="33" t="s">
        <v>659</v>
      </c>
      <c r="C228" s="34" t="s">
        <v>660</v>
      </c>
      <c r="D228" s="35">
        <v>2108529580</v>
      </c>
      <c r="E228" s="27" t="str">
        <f>LEFT(D228,3)</f>
        <v>210</v>
      </c>
      <c r="F228" s="27" t="str">
        <f>MID(D228,4,2)</f>
        <v>85</v>
      </c>
      <c r="G228" s="27" t="str">
        <f>RIGHT(D228,5)</f>
        <v>29580</v>
      </c>
      <c r="H228" s="13">
        <f>IFERROR(VLOOKUP($B228,'SAP 금액'!$A:$C,2,0),0)</f>
        <v>0</v>
      </c>
      <c r="I228" s="13">
        <f>IFERROR(VLOOKUP($B228,'SAP 금액'!$A:$C,3,0),0)</f>
        <v>0</v>
      </c>
      <c r="J228" s="13">
        <f>IFERROR(VLOOKUP(B228,'SAP 금액'!E:F,2,0),0)</f>
        <v>0</v>
      </c>
      <c r="K228" s="13">
        <f>VLOOKUP($B228,'국세청 금액'!$A:$C,2,0)</f>
        <v>0</v>
      </c>
      <c r="L228" s="13">
        <f>VLOOKUP($B228,'국세청 금액'!$A:$C,3,0)</f>
        <v>0</v>
      </c>
      <c r="M228" s="13">
        <f>VLOOKUP(B228,'국세청 금액'!A:F,6,0)</f>
        <v>759900</v>
      </c>
      <c r="N228" s="14">
        <f>K228-H228</f>
        <v>0</v>
      </c>
      <c r="O228" s="14">
        <f>L228-I228</f>
        <v>0</v>
      </c>
      <c r="P228" s="14">
        <f>M228-J228</f>
        <v>759900</v>
      </c>
      <c r="Q228" s="27" t="b">
        <f>AND(N228&lt;&gt;0,O228&lt;&gt;0)</f>
        <v>0</v>
      </c>
      <c r="R228" s="27" t="b">
        <f>P228&lt;&gt;0</f>
        <v>1</v>
      </c>
    </row>
    <row r="229" spans="2:18" ht="18" thickBot="1" x14ac:dyDescent="0.45">
      <c r="B229" s="33" t="s">
        <v>661</v>
      </c>
      <c r="C229" s="34" t="s">
        <v>662</v>
      </c>
      <c r="D229" s="35">
        <v>4858501487</v>
      </c>
      <c r="E229" s="27" t="str">
        <f>LEFT(D229,3)</f>
        <v>485</v>
      </c>
      <c r="F229" s="27" t="str">
        <f>MID(D229,4,2)</f>
        <v>85</v>
      </c>
      <c r="G229" s="27" t="str">
        <f>RIGHT(D229,5)</f>
        <v>01487</v>
      </c>
      <c r="H229" s="13">
        <f>IFERROR(VLOOKUP($B229,'SAP 금액'!$A:$C,2,0),0)</f>
        <v>0</v>
      </c>
      <c r="I229" s="13">
        <f>IFERROR(VLOOKUP($B229,'SAP 금액'!$A:$C,3,0),0)</f>
        <v>0</v>
      </c>
      <c r="J229" s="13">
        <f>IFERROR(VLOOKUP(B229,'SAP 금액'!E:F,2,0),0)</f>
        <v>0</v>
      </c>
      <c r="K229" s="13">
        <f>VLOOKUP($B229,'국세청 금액'!$A:$C,2,0)</f>
        <v>47036250</v>
      </c>
      <c r="L229" s="13">
        <f>VLOOKUP($B229,'국세청 금액'!$A:$C,3,0)</f>
        <v>4703080</v>
      </c>
      <c r="M229" s="13">
        <f>VLOOKUP(B229,'국세청 금액'!A:F,6,0)</f>
        <v>1659730</v>
      </c>
      <c r="N229" s="14">
        <f>K229-H229</f>
        <v>47036250</v>
      </c>
      <c r="O229" s="14">
        <f>L229-I229</f>
        <v>4703080</v>
      </c>
      <c r="P229" s="14">
        <f>M229-J229</f>
        <v>1659730</v>
      </c>
      <c r="Q229" s="27" t="b">
        <f>AND(N229&lt;&gt;0,O229&lt;&gt;0)</f>
        <v>1</v>
      </c>
      <c r="R229" s="27" t="b">
        <f>P229&lt;&gt;0</f>
        <v>1</v>
      </c>
    </row>
    <row r="230" spans="2:18" ht="18" thickBot="1" x14ac:dyDescent="0.45">
      <c r="B230" s="33" t="s">
        <v>663</v>
      </c>
      <c r="C230" s="34" t="s">
        <v>664</v>
      </c>
      <c r="D230" s="35">
        <v>8478501254</v>
      </c>
      <c r="E230" s="27" t="str">
        <f>LEFT(D230,3)</f>
        <v>847</v>
      </c>
      <c r="F230" s="27" t="str">
        <f>MID(D230,4,2)</f>
        <v>85</v>
      </c>
      <c r="G230" s="27" t="str">
        <f>RIGHT(D230,5)</f>
        <v>01254</v>
      </c>
      <c r="H230" s="13">
        <f>IFERROR(VLOOKUP($B230,'SAP 금액'!$A:$C,2,0),0)</f>
        <v>0</v>
      </c>
      <c r="I230" s="13">
        <f>IFERROR(VLOOKUP($B230,'SAP 금액'!$A:$C,3,0),0)</f>
        <v>0</v>
      </c>
      <c r="J230" s="13">
        <f>IFERROR(VLOOKUP(B230,'SAP 금액'!E:F,2,0),0)</f>
        <v>0</v>
      </c>
      <c r="K230" s="13">
        <f>VLOOKUP($B230,'국세청 금액'!$A:$C,2,0)</f>
        <v>75704749</v>
      </c>
      <c r="L230" s="13">
        <f>VLOOKUP($B230,'국세청 금액'!$A:$C,3,0)</f>
        <v>7570472</v>
      </c>
      <c r="M230" s="13">
        <f>VLOOKUP(B230,'국세청 금액'!A:F,6,0)</f>
        <v>6954189</v>
      </c>
      <c r="N230" s="14">
        <f>K230-H230</f>
        <v>75704749</v>
      </c>
      <c r="O230" s="14">
        <f>L230-I230</f>
        <v>7570472</v>
      </c>
      <c r="P230" s="14">
        <f>M230-J230</f>
        <v>6954189</v>
      </c>
      <c r="Q230" s="27" t="b">
        <f>AND(N230&lt;&gt;0,O230&lt;&gt;0)</f>
        <v>1</v>
      </c>
      <c r="R230" s="27" t="b">
        <f>P230&lt;&gt;0</f>
        <v>1</v>
      </c>
    </row>
    <row r="231" spans="2:18" ht="18" thickBot="1" x14ac:dyDescent="0.45">
      <c r="B231" s="33" t="s">
        <v>665</v>
      </c>
      <c r="C231" s="34" t="s">
        <v>666</v>
      </c>
      <c r="D231" s="35">
        <v>2538501478</v>
      </c>
      <c r="E231" s="27" t="str">
        <f>LEFT(D231,3)</f>
        <v>253</v>
      </c>
      <c r="F231" s="27" t="str">
        <f>MID(D231,4,2)</f>
        <v>85</v>
      </c>
      <c r="G231" s="27" t="str">
        <f>RIGHT(D231,5)</f>
        <v>01478</v>
      </c>
      <c r="H231" s="13">
        <f>IFERROR(VLOOKUP($B231,'SAP 금액'!$A:$C,2,0),0)</f>
        <v>0</v>
      </c>
      <c r="I231" s="13">
        <f>IFERROR(VLOOKUP($B231,'SAP 금액'!$A:$C,3,0),0)</f>
        <v>0</v>
      </c>
      <c r="J231" s="13">
        <f>IFERROR(VLOOKUP(B231,'SAP 금액'!E:F,2,0),0)</f>
        <v>0</v>
      </c>
      <c r="K231" s="13">
        <f>VLOOKUP($B231,'국세청 금액'!$A:$C,2,0)</f>
        <v>24176136</v>
      </c>
      <c r="L231" s="13">
        <f>VLOOKUP($B231,'국세청 금액'!$A:$C,3,0)</f>
        <v>2417584</v>
      </c>
      <c r="M231" s="13">
        <f>VLOOKUP(B231,'국세청 금액'!A:F,6,0)</f>
        <v>2263421</v>
      </c>
      <c r="N231" s="14">
        <f>K231-H231</f>
        <v>24176136</v>
      </c>
      <c r="O231" s="14">
        <f>L231-I231</f>
        <v>2417584</v>
      </c>
      <c r="P231" s="14">
        <f>M231-J231</f>
        <v>2263421</v>
      </c>
      <c r="Q231" s="27" t="b">
        <f>AND(N231&lt;&gt;0,O231&lt;&gt;0)</f>
        <v>1</v>
      </c>
      <c r="R231" s="27" t="b">
        <f>P231&lt;&gt;0</f>
        <v>1</v>
      </c>
    </row>
    <row r="232" spans="2:18" ht="18" thickBot="1" x14ac:dyDescent="0.45">
      <c r="B232" s="33" t="s">
        <v>667</v>
      </c>
      <c r="C232" s="34" t="s">
        <v>668</v>
      </c>
      <c r="D232" s="35">
        <v>7988501326</v>
      </c>
      <c r="E232" s="27" t="str">
        <f>LEFT(D232,3)</f>
        <v>798</v>
      </c>
      <c r="F232" s="27" t="str">
        <f>MID(D232,4,2)</f>
        <v>85</v>
      </c>
      <c r="G232" s="27" t="str">
        <f>RIGHT(D232,5)</f>
        <v>01326</v>
      </c>
      <c r="H232" s="13">
        <f>IFERROR(VLOOKUP($B232,'SAP 금액'!$A:$C,2,0),0)</f>
        <v>0</v>
      </c>
      <c r="I232" s="13">
        <f>IFERROR(VLOOKUP($B232,'SAP 금액'!$A:$C,3,0),0)</f>
        <v>0</v>
      </c>
      <c r="J232" s="13">
        <f>IFERROR(VLOOKUP(B232,'SAP 금액'!E:F,2,0),0)</f>
        <v>0</v>
      </c>
      <c r="K232" s="13">
        <f>VLOOKUP($B232,'국세청 금액'!$A:$C,2,0)</f>
        <v>24363394</v>
      </c>
      <c r="L232" s="13">
        <f>VLOOKUP($B232,'국세청 금액'!$A:$C,3,0)</f>
        <v>2436282</v>
      </c>
      <c r="M232" s="13">
        <f>VLOOKUP(B232,'국세청 금액'!A:F,6,0)</f>
        <v>0</v>
      </c>
      <c r="N232" s="14">
        <f>K232-H232</f>
        <v>24363394</v>
      </c>
      <c r="O232" s="14">
        <f>L232-I232</f>
        <v>2436282</v>
      </c>
      <c r="P232" s="14">
        <f>M232-J232</f>
        <v>0</v>
      </c>
      <c r="Q232" s="27" t="b">
        <f>AND(N232&lt;&gt;0,O232&lt;&gt;0)</f>
        <v>1</v>
      </c>
      <c r="R232" s="27" t="b">
        <f>P232&lt;&gt;0</f>
        <v>0</v>
      </c>
    </row>
    <row r="233" spans="2:18" ht="18" thickBot="1" x14ac:dyDescent="0.45">
      <c r="B233" s="33" t="s">
        <v>669</v>
      </c>
      <c r="C233" s="34" t="s">
        <v>670</v>
      </c>
      <c r="D233" s="35">
        <v>5558501374</v>
      </c>
      <c r="E233" s="27" t="str">
        <f>LEFT(D233,3)</f>
        <v>555</v>
      </c>
      <c r="F233" s="27" t="str">
        <f>MID(D233,4,2)</f>
        <v>85</v>
      </c>
      <c r="G233" s="27" t="str">
        <f>RIGHT(D233,5)</f>
        <v>01374</v>
      </c>
      <c r="H233" s="13">
        <f>IFERROR(VLOOKUP($B233,'SAP 금액'!$A:$C,2,0),0)</f>
        <v>0</v>
      </c>
      <c r="I233" s="13">
        <f>IFERROR(VLOOKUP($B233,'SAP 금액'!$A:$C,3,0),0)</f>
        <v>0</v>
      </c>
      <c r="J233" s="13">
        <f>IFERROR(VLOOKUP(B233,'SAP 금액'!E:F,2,0),0)</f>
        <v>0</v>
      </c>
      <c r="K233" s="13">
        <f>VLOOKUP($B233,'국세청 금액'!$A:$C,2,0)</f>
        <v>84527099</v>
      </c>
      <c r="L233" s="13">
        <f>VLOOKUP($B233,'국세청 금액'!$A:$C,3,0)</f>
        <v>8452709</v>
      </c>
      <c r="M233" s="13">
        <f>VLOOKUP(B233,'국세청 금액'!A:F,6,0)</f>
        <v>4046116</v>
      </c>
      <c r="N233" s="14">
        <f>K233-H233</f>
        <v>84527099</v>
      </c>
      <c r="O233" s="14">
        <f>L233-I233</f>
        <v>8452709</v>
      </c>
      <c r="P233" s="14">
        <f>M233-J233</f>
        <v>4046116</v>
      </c>
      <c r="Q233" s="27" t="b">
        <f>AND(N233&lt;&gt;0,O233&lt;&gt;0)</f>
        <v>1</v>
      </c>
      <c r="R233" s="27" t="b">
        <f>P233&lt;&gt;0</f>
        <v>1</v>
      </c>
    </row>
    <row r="234" spans="2:18" ht="18" thickBot="1" x14ac:dyDescent="0.45">
      <c r="B234" s="33" t="s">
        <v>671</v>
      </c>
      <c r="C234" s="34" t="s">
        <v>672</v>
      </c>
      <c r="D234" s="35">
        <v>8218501418</v>
      </c>
      <c r="E234" s="27" t="str">
        <f>LEFT(D234,3)</f>
        <v>821</v>
      </c>
      <c r="F234" s="27" t="str">
        <f>MID(D234,4,2)</f>
        <v>85</v>
      </c>
      <c r="G234" s="27" t="str">
        <f>RIGHT(D234,5)</f>
        <v>01418</v>
      </c>
      <c r="H234" s="13">
        <f>IFERROR(VLOOKUP($B234,'SAP 금액'!$A:$C,2,0),0)</f>
        <v>0</v>
      </c>
      <c r="I234" s="13">
        <f>IFERROR(VLOOKUP($B234,'SAP 금액'!$A:$C,3,0),0)</f>
        <v>0</v>
      </c>
      <c r="J234" s="13">
        <f>IFERROR(VLOOKUP(B234,'SAP 금액'!E:F,2,0),0)</f>
        <v>0</v>
      </c>
      <c r="K234" s="13">
        <f>VLOOKUP($B234,'국세청 금액'!$A:$C,2,0)</f>
        <v>91903906</v>
      </c>
      <c r="L234" s="13">
        <f>VLOOKUP($B234,'국세청 금액'!$A:$C,3,0)</f>
        <v>9190310</v>
      </c>
      <c r="M234" s="13">
        <f>VLOOKUP(B234,'국세청 금액'!A:F,6,0)</f>
        <v>5556492</v>
      </c>
      <c r="N234" s="14">
        <f>K234-H234</f>
        <v>91903906</v>
      </c>
      <c r="O234" s="14">
        <f>L234-I234</f>
        <v>9190310</v>
      </c>
      <c r="P234" s="14">
        <f>M234-J234</f>
        <v>5556492</v>
      </c>
      <c r="Q234" s="27" t="b">
        <f>AND(N234&lt;&gt;0,O234&lt;&gt;0)</f>
        <v>1</v>
      </c>
      <c r="R234" s="27" t="b">
        <f>P234&lt;&gt;0</f>
        <v>1</v>
      </c>
    </row>
    <row r="235" spans="2:18" ht="18" thickBot="1" x14ac:dyDescent="0.45">
      <c r="B235" s="33" t="s">
        <v>673</v>
      </c>
      <c r="C235" s="34" t="s">
        <v>674</v>
      </c>
      <c r="D235" s="35">
        <v>6838501607</v>
      </c>
      <c r="E235" s="27" t="str">
        <f>LEFT(D235,3)</f>
        <v>683</v>
      </c>
      <c r="F235" s="27" t="str">
        <f>MID(D235,4,2)</f>
        <v>85</v>
      </c>
      <c r="G235" s="27" t="str">
        <f>RIGHT(D235,5)</f>
        <v>01607</v>
      </c>
      <c r="H235" s="13">
        <f>IFERROR(VLOOKUP($B235,'SAP 금액'!$A:$C,2,0),0)</f>
        <v>0</v>
      </c>
      <c r="I235" s="13">
        <f>IFERROR(VLOOKUP($B235,'SAP 금액'!$A:$C,3,0),0)</f>
        <v>0</v>
      </c>
      <c r="J235" s="13">
        <f>IFERROR(VLOOKUP(B235,'SAP 금액'!E:F,2,0),0)</f>
        <v>0</v>
      </c>
      <c r="K235" s="13">
        <f>VLOOKUP($B235,'국세청 금액'!$A:$C,2,0)</f>
        <v>91903906</v>
      </c>
      <c r="L235" s="13">
        <f>VLOOKUP($B235,'국세청 금액'!$A:$C,3,0)</f>
        <v>9190310</v>
      </c>
      <c r="M235" s="13">
        <f>VLOOKUP(B235,'국세청 금액'!A:F,6,0)</f>
        <v>0</v>
      </c>
      <c r="N235" s="14">
        <f>K235-H235</f>
        <v>91903906</v>
      </c>
      <c r="O235" s="14">
        <f>L235-I235</f>
        <v>9190310</v>
      </c>
      <c r="P235" s="14">
        <f>M235-J235</f>
        <v>0</v>
      </c>
      <c r="Q235" s="27" t="b">
        <f>AND(N235&lt;&gt;0,O235&lt;&gt;0)</f>
        <v>1</v>
      </c>
      <c r="R235" s="27" t="b">
        <f>P235&lt;&gt;0</f>
        <v>0</v>
      </c>
    </row>
    <row r="236" spans="2:18" ht="18" thickBot="1" x14ac:dyDescent="0.45">
      <c r="B236" s="33" t="s">
        <v>675</v>
      </c>
      <c r="C236" s="34" t="s">
        <v>676</v>
      </c>
      <c r="D236" s="35">
        <v>2408501638</v>
      </c>
      <c r="E236" s="27" t="str">
        <f>LEFT(D236,3)</f>
        <v>240</v>
      </c>
      <c r="F236" s="27" t="str">
        <f>MID(D236,4,2)</f>
        <v>85</v>
      </c>
      <c r="G236" s="27" t="str">
        <f>RIGHT(D236,5)</f>
        <v>01638</v>
      </c>
      <c r="H236" s="13">
        <f>IFERROR(VLOOKUP($B236,'SAP 금액'!$A:$C,2,0),0)</f>
        <v>0</v>
      </c>
      <c r="I236" s="13">
        <f>IFERROR(VLOOKUP($B236,'SAP 금액'!$A:$C,3,0),0)</f>
        <v>0</v>
      </c>
      <c r="J236" s="13">
        <f>IFERROR(VLOOKUP(B236,'SAP 금액'!E:F,2,0),0)</f>
        <v>0</v>
      </c>
      <c r="K236" s="13">
        <f>VLOOKUP($B236,'국세청 금액'!$A:$C,2,0)</f>
        <v>150677525</v>
      </c>
      <c r="L236" s="13">
        <f>VLOOKUP($B236,'국세청 금액'!$A:$C,3,0)</f>
        <v>15067405</v>
      </c>
      <c r="M236" s="13">
        <f>VLOOKUP(B236,'국세청 금액'!A:F,6,0)</f>
        <v>309000</v>
      </c>
      <c r="N236" s="14">
        <f>K236-H236</f>
        <v>150677525</v>
      </c>
      <c r="O236" s="14">
        <f>L236-I236</f>
        <v>15067405</v>
      </c>
      <c r="P236" s="14">
        <f>M236-J236</f>
        <v>309000</v>
      </c>
      <c r="Q236" s="27" t="b">
        <f>AND(N236&lt;&gt;0,O236&lt;&gt;0)</f>
        <v>1</v>
      </c>
      <c r="R236" s="27" t="b">
        <f>P236&lt;&gt;0</f>
        <v>1</v>
      </c>
    </row>
    <row r="237" spans="2:18" ht="18" thickBot="1" x14ac:dyDescent="0.45">
      <c r="B237" s="33" t="s">
        <v>677</v>
      </c>
      <c r="C237" s="34" t="s">
        <v>678</v>
      </c>
      <c r="D237" s="35">
        <v>4288501408</v>
      </c>
      <c r="E237" s="27" t="str">
        <f>LEFT(D237,3)</f>
        <v>428</v>
      </c>
      <c r="F237" s="27" t="str">
        <f>MID(D237,4,2)</f>
        <v>85</v>
      </c>
      <c r="G237" s="27" t="str">
        <f>RIGHT(D237,5)</f>
        <v>01408</v>
      </c>
      <c r="H237" s="13">
        <f>IFERROR(VLOOKUP($B237,'SAP 금액'!$A:$C,2,0),0)</f>
        <v>0</v>
      </c>
      <c r="I237" s="13">
        <f>IFERROR(VLOOKUP($B237,'SAP 금액'!$A:$C,3,0),0)</f>
        <v>0</v>
      </c>
      <c r="J237" s="13">
        <f>IFERROR(VLOOKUP(B237,'SAP 금액'!E:F,2,0),0)</f>
        <v>0</v>
      </c>
      <c r="K237" s="13">
        <f>VLOOKUP($B237,'국세청 금액'!$A:$C,2,0)</f>
        <v>3289275</v>
      </c>
      <c r="L237" s="13">
        <f>VLOOKUP($B237,'국세청 금액'!$A:$C,3,0)</f>
        <v>328986</v>
      </c>
      <c r="M237" s="13">
        <f>VLOOKUP(B237,'국세청 금액'!A:F,6,0)</f>
        <v>0</v>
      </c>
      <c r="N237" s="14">
        <f>K237-H237</f>
        <v>3289275</v>
      </c>
      <c r="O237" s="14">
        <f>L237-I237</f>
        <v>328986</v>
      </c>
      <c r="P237" s="14">
        <f>M237-J237</f>
        <v>0</v>
      </c>
      <c r="Q237" s="27" t="b">
        <f>AND(N237&lt;&gt;0,O237&lt;&gt;0)</f>
        <v>1</v>
      </c>
      <c r="R237" s="27" t="b">
        <f>P237&lt;&gt;0</f>
        <v>0</v>
      </c>
    </row>
    <row r="238" spans="2:18" ht="18" thickBot="1" x14ac:dyDescent="0.45">
      <c r="B238" s="33" t="s">
        <v>679</v>
      </c>
      <c r="C238" s="34" t="s">
        <v>680</v>
      </c>
      <c r="D238" s="35">
        <v>7598501511</v>
      </c>
      <c r="E238" s="27" t="str">
        <f>LEFT(D238,3)</f>
        <v>759</v>
      </c>
      <c r="F238" s="27" t="str">
        <f>MID(D238,4,2)</f>
        <v>85</v>
      </c>
      <c r="G238" s="27" t="str">
        <f>RIGHT(D238,5)</f>
        <v>01511</v>
      </c>
      <c r="H238" s="13">
        <f>IFERROR(VLOOKUP($B238,'SAP 금액'!$A:$C,2,0),0)</f>
        <v>0</v>
      </c>
      <c r="I238" s="13">
        <f>IFERROR(VLOOKUP($B238,'SAP 금액'!$A:$C,3,0),0)</f>
        <v>0</v>
      </c>
      <c r="J238" s="13">
        <f>IFERROR(VLOOKUP(B238,'SAP 금액'!E:F,2,0),0)</f>
        <v>0</v>
      </c>
      <c r="K238" s="13">
        <f>VLOOKUP($B238,'국세청 금액'!$A:$C,2,0)</f>
        <v>112261525</v>
      </c>
      <c r="L238" s="13">
        <f>VLOOKUP($B238,'국세청 금액'!$A:$C,3,0)</f>
        <v>11226157</v>
      </c>
      <c r="M238" s="13">
        <f>VLOOKUP(B238,'국세청 금액'!A:F,6,0)</f>
        <v>0</v>
      </c>
      <c r="N238" s="14">
        <f>K238-H238</f>
        <v>112261525</v>
      </c>
      <c r="O238" s="14">
        <f>L238-I238</f>
        <v>11226157</v>
      </c>
      <c r="P238" s="14">
        <f>M238-J238</f>
        <v>0</v>
      </c>
      <c r="Q238" s="27" t="b">
        <f>AND(N238&lt;&gt;0,O238&lt;&gt;0)</f>
        <v>1</v>
      </c>
      <c r="R238" s="27" t="b">
        <f>P238&lt;&gt;0</f>
        <v>0</v>
      </c>
    </row>
    <row r="239" spans="2:18" ht="18" thickBot="1" x14ac:dyDescent="0.45">
      <c r="B239" s="36" t="s">
        <v>681</v>
      </c>
      <c r="C239" s="37" t="s">
        <v>682</v>
      </c>
      <c r="D239" s="35">
        <v>4388501292</v>
      </c>
      <c r="E239" s="27" t="str">
        <f>LEFT(D239,3)</f>
        <v>438</v>
      </c>
      <c r="F239" s="27" t="str">
        <f>MID(D239,4,2)</f>
        <v>85</v>
      </c>
      <c r="G239" s="27" t="str">
        <f>RIGHT(D239,5)</f>
        <v>01292</v>
      </c>
      <c r="H239" s="13">
        <f>IFERROR(VLOOKUP($B239,'SAP 금액'!$A:$C,2,0),0)</f>
        <v>0</v>
      </c>
      <c r="I239" s="13">
        <f>IFERROR(VLOOKUP($B239,'SAP 금액'!$A:$C,3,0),0)</f>
        <v>0</v>
      </c>
      <c r="J239" s="13">
        <f>IFERROR(VLOOKUP(B239,'SAP 금액'!E:F,2,0),0)</f>
        <v>0</v>
      </c>
      <c r="K239" s="13">
        <f>VLOOKUP($B239,'국세청 금액'!$A:$C,2,0)</f>
        <v>47124460</v>
      </c>
      <c r="L239" s="13">
        <f>VLOOKUP($B239,'국세청 금액'!$A:$C,3,0)</f>
        <v>4712391</v>
      </c>
      <c r="M239" s="13">
        <f>VLOOKUP(B239,'국세청 금액'!A:F,6,0)</f>
        <v>0</v>
      </c>
      <c r="N239" s="14">
        <f>K239-H239</f>
        <v>47124460</v>
      </c>
      <c r="O239" s="14">
        <f>L239-I239</f>
        <v>4712391</v>
      </c>
      <c r="P239" s="14">
        <f>M239-J239</f>
        <v>0</v>
      </c>
      <c r="Q239" s="27" t="b">
        <f>AND(N239&lt;&gt;0,O239&lt;&gt;0)</f>
        <v>1</v>
      </c>
      <c r="R239" s="27" t="b">
        <f>P239&lt;&gt;0</f>
        <v>0</v>
      </c>
    </row>
    <row r="240" spans="2:18" ht="18" thickBot="1" x14ac:dyDescent="0.45">
      <c r="B240" s="36" t="s">
        <v>683</v>
      </c>
      <c r="C240" s="37" t="s">
        <v>684</v>
      </c>
      <c r="D240" s="35">
        <v>3748501436</v>
      </c>
      <c r="E240" s="27" t="str">
        <f>LEFT(D240,3)</f>
        <v>374</v>
      </c>
      <c r="F240" s="27" t="str">
        <f>MID(D240,4,2)</f>
        <v>85</v>
      </c>
      <c r="G240" s="27" t="str">
        <f>RIGHT(D240,5)</f>
        <v>01436</v>
      </c>
      <c r="H240" s="13">
        <f>IFERROR(VLOOKUP($B240,'SAP 금액'!$A:$C,2,0),0)</f>
        <v>0</v>
      </c>
      <c r="I240" s="13">
        <f>IFERROR(VLOOKUP($B240,'SAP 금액'!$A:$C,3,0),0)</f>
        <v>0</v>
      </c>
      <c r="J240" s="13">
        <f>IFERROR(VLOOKUP(B240,'SAP 금액'!E:F,2,0),0)</f>
        <v>0</v>
      </c>
      <c r="K240" s="13">
        <f>VLOOKUP($B240,'국세청 금액'!$A:$C,2,0)</f>
        <v>47124460</v>
      </c>
      <c r="L240" s="13">
        <f>VLOOKUP($B240,'국세청 금액'!$A:$C,3,0)</f>
        <v>4712391</v>
      </c>
      <c r="M240" s="13">
        <f>VLOOKUP(B240,'국세청 금액'!A:F,6,0)</f>
        <v>0</v>
      </c>
      <c r="N240" s="14">
        <f>K240-H240</f>
        <v>47124460</v>
      </c>
      <c r="O240" s="14">
        <f>L240-I240</f>
        <v>4712391</v>
      </c>
      <c r="P240" s="14">
        <f>M240-J240</f>
        <v>0</v>
      </c>
      <c r="Q240" s="27" t="b">
        <f>AND(N240&lt;&gt;0,O240&lt;&gt;0)</f>
        <v>1</v>
      </c>
      <c r="R240" s="27" t="b">
        <f>P240&lt;&gt;0</f>
        <v>0</v>
      </c>
    </row>
    <row r="241" spans="2:18" ht="18" thickBot="1" x14ac:dyDescent="0.45">
      <c r="B241" s="39" t="s">
        <v>685</v>
      </c>
      <c r="C241" s="40" t="s">
        <v>686</v>
      </c>
      <c r="D241" s="35">
        <v>5278501568</v>
      </c>
      <c r="E241" s="27" t="str">
        <f>LEFT(D241,3)</f>
        <v>527</v>
      </c>
      <c r="F241" s="27" t="str">
        <f>MID(D241,4,2)</f>
        <v>85</v>
      </c>
      <c r="G241" s="27" t="str">
        <f>RIGHT(D241,5)</f>
        <v>01568</v>
      </c>
      <c r="H241" s="13">
        <f>IFERROR(VLOOKUP($B241,'SAP 금액'!$A:$C,2,0),0)</f>
        <v>0</v>
      </c>
      <c r="I241" s="13">
        <f>IFERROR(VLOOKUP($B241,'SAP 금액'!$A:$C,3,0),0)</f>
        <v>0</v>
      </c>
      <c r="J241" s="13">
        <f>IFERROR(VLOOKUP(B241,'SAP 금액'!E:F,2,0),0)</f>
        <v>0</v>
      </c>
      <c r="K241" s="13">
        <f>VLOOKUP($B241,'국세청 금액'!$A:$C,2,0)</f>
        <v>31826325</v>
      </c>
      <c r="L241" s="13">
        <f>VLOOKUP($B241,'국세청 금액'!$A:$C,3,0)</f>
        <v>3182494</v>
      </c>
      <c r="M241" s="13">
        <f>VLOOKUP(B241,'국세청 금액'!A:F,6,0)</f>
        <v>1823518</v>
      </c>
      <c r="N241" s="14">
        <f>K241-H241</f>
        <v>31826325</v>
      </c>
      <c r="O241" s="14">
        <f>L241-I241</f>
        <v>3182494</v>
      </c>
      <c r="P241" s="14">
        <f>M241-J241</f>
        <v>1823518</v>
      </c>
      <c r="Q241" s="27" t="b">
        <f>AND(N241&lt;&gt;0,O241&lt;&gt;0)</f>
        <v>1</v>
      </c>
      <c r="R241" s="27" t="b">
        <f>P241&lt;&gt;0</f>
        <v>1</v>
      </c>
    </row>
    <row r="243" spans="2:18" x14ac:dyDescent="0.4">
      <c r="B243" s="41"/>
      <c r="C243"/>
      <c r="D243"/>
    </row>
  </sheetData>
  <mergeCells count="3">
    <mergeCell ref="H2:J2"/>
    <mergeCell ref="K2:M2"/>
    <mergeCell ref="N2:P2"/>
  </mergeCells>
  <phoneticPr fontId="3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B2" sqref="B2"/>
    </sheetView>
  </sheetViews>
  <sheetFormatPr defaultRowHeight="17.399999999999999" x14ac:dyDescent="0.4"/>
  <cols>
    <col min="1" max="1" width="23.5" bestFit="1" customWidth="1"/>
  </cols>
  <sheetData>
    <row r="1" spans="1:2" x14ac:dyDescent="0.4">
      <c r="A1" t="s">
        <v>208</v>
      </c>
      <c r="B1" t="s">
        <v>928</v>
      </c>
    </row>
    <row r="2" spans="1:2" x14ac:dyDescent="0.4">
      <c r="A2" t="s">
        <v>1164</v>
      </c>
      <c r="B2" t="s">
        <v>1165</v>
      </c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R2"/>
  <sheetViews>
    <sheetView workbookViewId="0">
      <selection activeCell="C9" sqref="C9"/>
    </sheetView>
  </sheetViews>
  <sheetFormatPr defaultRowHeight="17.399999999999999" x14ac:dyDescent="0.4"/>
  <cols>
    <col min="2" max="2" width="5.796875" bestFit="1" customWidth="1"/>
    <col min="3" max="3" width="33.8984375" bestFit="1" customWidth="1"/>
    <col min="4" max="4" width="10.3984375" bestFit="1" customWidth="1"/>
    <col min="5" max="5" width="4.3984375" bestFit="1" customWidth="1"/>
    <col min="6" max="6" width="3.3984375" bestFit="1" customWidth="1"/>
    <col min="7" max="7" width="6.3984375" bestFit="1" customWidth="1"/>
    <col min="8" max="8" width="11.296875" bestFit="1" customWidth="1"/>
    <col min="9" max="9" width="10.19921875" bestFit="1" customWidth="1"/>
    <col min="10" max="10" width="3.09765625" bestFit="1" customWidth="1"/>
    <col min="11" max="11" width="12.3984375" bestFit="1" customWidth="1"/>
    <col min="12" max="12" width="11.296875" bestFit="1" customWidth="1"/>
    <col min="13" max="13" width="7.09765625" bestFit="1" customWidth="1"/>
    <col min="14" max="14" width="11.296875" bestFit="1" customWidth="1"/>
    <col min="15" max="15" width="10.19921875" bestFit="1" customWidth="1"/>
    <col min="16" max="16" width="8.3984375" bestFit="1" customWidth="1"/>
    <col min="17" max="17" width="6.296875" bestFit="1" customWidth="1"/>
    <col min="18" max="18" width="8.3984375" bestFit="1" customWidth="1"/>
  </cols>
  <sheetData>
    <row r="2" spans="2:18" ht="18" thickBot="1" x14ac:dyDescent="0.45">
      <c r="B2" s="36" t="s">
        <v>687</v>
      </c>
      <c r="C2" s="37" t="s">
        <v>688</v>
      </c>
      <c r="D2" s="35">
        <v>7668501520</v>
      </c>
      <c r="E2" s="27" t="str">
        <f>LEFT(D2,3)</f>
        <v>766</v>
      </c>
      <c r="F2" s="27" t="str">
        <f>MID(D2,4,2)</f>
        <v>85</v>
      </c>
      <c r="G2" s="27" t="str">
        <f>RIGHT(D2,5)</f>
        <v>01520</v>
      </c>
      <c r="H2" s="13">
        <f>IFERROR(VLOOKUP($B2,'SAP 금액'!$A:$C,2,0),0)</f>
        <v>0</v>
      </c>
      <c r="I2" s="13">
        <f>IFERROR(VLOOKUP($B2,'SAP 금액'!$A:$C,3,0),0)</f>
        <v>0</v>
      </c>
      <c r="J2" s="13">
        <f>IFERROR(VLOOKUP(B2,'SAP 금액'!E:F,2,0),0)</f>
        <v>0</v>
      </c>
      <c r="K2" s="13" t="e">
        <f>VLOOKUP($B2,'국세청 금액'!$A:$C,2,0)</f>
        <v>#N/A</v>
      </c>
      <c r="L2" s="13" t="e">
        <f>VLOOKUP($B2,'국세청 금액'!$A:$C,3,0)</f>
        <v>#N/A</v>
      </c>
      <c r="M2" s="13" t="e">
        <f>VLOOKUP(B2,'국세청 금액'!A:F,6,0)</f>
        <v>#N/A</v>
      </c>
      <c r="N2" s="14" t="e">
        <f>K2-H2</f>
        <v>#N/A</v>
      </c>
      <c r="O2" s="14" t="e">
        <f>L2-I2</f>
        <v>#N/A</v>
      </c>
      <c r="P2" s="14" t="e">
        <f>M2-J2</f>
        <v>#N/A</v>
      </c>
      <c r="Q2" s="27" t="e">
        <f>AND(N2&lt;&gt;0,O2&lt;&gt;0)</f>
        <v>#N/A</v>
      </c>
      <c r="R2" s="27" t="e">
        <f>P2&lt;&gt;0</f>
        <v>#N/A</v>
      </c>
    </row>
  </sheetData>
  <phoneticPr fontId="3" type="noConversion"/>
  <pageMargins left="0.7" right="0.7" top="0.75" bottom="0.75" header="0.3" footer="0.3"/>
  <pageSetup paperSize="9" orientation="portrait" horizontalDpi="150" verticalDpi="15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차이 금액</vt:lpstr>
      <vt:lpstr>국세청 금액</vt:lpstr>
      <vt:lpstr>SAP 금액</vt:lpstr>
      <vt:lpstr>사업장</vt:lpstr>
      <vt:lpstr>config</vt:lpstr>
      <vt:lpstr>총괄종사업장 미등록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이동훈(이네스트 패션매입재무행정팀)</dc:creator>
  <cp:lastModifiedBy>이동훈(이네스트 패션매입재무행정팀)</cp:lastModifiedBy>
  <dcterms:created xsi:type="dcterms:W3CDTF">2020-10-25T05:41:21Z</dcterms:created>
  <dcterms:modified xsi:type="dcterms:W3CDTF">2021-01-12T05:55:52Z</dcterms:modified>
</cp:coreProperties>
</file>