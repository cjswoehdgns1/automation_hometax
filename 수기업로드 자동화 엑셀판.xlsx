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4952" windowHeight="7260"/>
  </bookViews>
  <sheets>
    <sheet name="차이 금액" sheetId="4" r:id="rId1"/>
    <sheet name="Sheet1" sheetId="5" r:id="rId2"/>
    <sheet name="국세청 금액" sheetId="1" r:id="rId3"/>
    <sheet name="SAP 금액" sheetId="2" r:id="rId4"/>
    <sheet name="사업장" sheetId="3" r:id="rId5"/>
  </sheets>
  <definedNames>
    <definedName name="_xlnm._FilterDatabase" localSheetId="0" hidden="1">'차이 금액'!$B$3:$I$183</definedName>
  </definedNames>
  <calcPr calcId="145621"/>
</workbook>
</file>

<file path=xl/calcChain.xml><?xml version="1.0" encoding="utf-8"?>
<calcChain xmlns="http://schemas.openxmlformats.org/spreadsheetml/2006/main">
  <c r="I3" i="3" l="1"/>
  <c r="M3" i="3" l="1"/>
  <c r="L3" i="3"/>
  <c r="K3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L5" i="3"/>
  <c r="K5" i="3"/>
  <c r="J3" i="3" l="1"/>
  <c r="P3" i="3" s="1"/>
  <c r="G4" i="4" s="1"/>
  <c r="O3" i="3"/>
  <c r="H3" i="3"/>
  <c r="J6" i="3"/>
  <c r="P6" i="3" s="1"/>
  <c r="J7" i="3"/>
  <c r="P7" i="3" s="1"/>
  <c r="J8" i="3"/>
  <c r="P8" i="3" s="1"/>
  <c r="J9" i="3"/>
  <c r="P9" i="3" s="1"/>
  <c r="R9" i="3" s="1"/>
  <c r="I9" i="4" s="1"/>
  <c r="J10" i="3"/>
  <c r="P10" i="3" s="1"/>
  <c r="R10" i="3" s="1"/>
  <c r="I10" i="4" s="1"/>
  <c r="J11" i="3"/>
  <c r="P11" i="3" s="1"/>
  <c r="J12" i="3"/>
  <c r="P12" i="3" s="1"/>
  <c r="J13" i="3"/>
  <c r="P13" i="3" s="1"/>
  <c r="R13" i="3" s="1"/>
  <c r="I13" i="4" s="1"/>
  <c r="J14" i="3"/>
  <c r="P14" i="3" s="1"/>
  <c r="R14" i="3" s="1"/>
  <c r="I14" i="4" s="1"/>
  <c r="J15" i="3"/>
  <c r="P15" i="3" s="1"/>
  <c r="J16" i="3"/>
  <c r="P16" i="3" s="1"/>
  <c r="J17" i="3"/>
  <c r="P17" i="3" s="1"/>
  <c r="R17" i="3" s="1"/>
  <c r="I17" i="4" s="1"/>
  <c r="J18" i="3"/>
  <c r="P18" i="3" s="1"/>
  <c r="J19" i="3"/>
  <c r="P19" i="3" s="1"/>
  <c r="J20" i="3"/>
  <c r="P20" i="3" s="1"/>
  <c r="J21" i="3"/>
  <c r="P21" i="3" s="1"/>
  <c r="R21" i="3" s="1"/>
  <c r="I21" i="4" s="1"/>
  <c r="J22" i="3"/>
  <c r="P22" i="3" s="1"/>
  <c r="R22" i="3" s="1"/>
  <c r="I22" i="4" s="1"/>
  <c r="J23" i="3"/>
  <c r="P23" i="3" s="1"/>
  <c r="J24" i="3"/>
  <c r="P24" i="3" s="1"/>
  <c r="J25" i="3"/>
  <c r="P25" i="3" s="1"/>
  <c r="R25" i="3" s="1"/>
  <c r="I25" i="4" s="1"/>
  <c r="J26" i="3"/>
  <c r="P26" i="3" s="1"/>
  <c r="R26" i="3" s="1"/>
  <c r="I26" i="4" s="1"/>
  <c r="J27" i="3"/>
  <c r="P27" i="3" s="1"/>
  <c r="J28" i="3"/>
  <c r="P28" i="3" s="1"/>
  <c r="J29" i="3"/>
  <c r="P29" i="3" s="1"/>
  <c r="R29" i="3" s="1"/>
  <c r="I29" i="4" s="1"/>
  <c r="J30" i="3"/>
  <c r="P30" i="3" s="1"/>
  <c r="J31" i="3"/>
  <c r="P31" i="3" s="1"/>
  <c r="J32" i="3"/>
  <c r="P32" i="3" s="1"/>
  <c r="J33" i="3"/>
  <c r="P33" i="3" s="1"/>
  <c r="R33" i="3" s="1"/>
  <c r="I33" i="4" s="1"/>
  <c r="J34" i="3"/>
  <c r="P34" i="3" s="1"/>
  <c r="J35" i="3"/>
  <c r="P35" i="3" s="1"/>
  <c r="J36" i="3"/>
  <c r="P36" i="3" s="1"/>
  <c r="J37" i="3"/>
  <c r="P37" i="3" s="1"/>
  <c r="R37" i="3" s="1"/>
  <c r="I37" i="4" s="1"/>
  <c r="J38" i="3"/>
  <c r="P38" i="3" s="1"/>
  <c r="R38" i="3" s="1"/>
  <c r="I38" i="4" s="1"/>
  <c r="J39" i="3"/>
  <c r="P39" i="3" s="1"/>
  <c r="R39" i="3" s="1"/>
  <c r="I39" i="4" s="1"/>
  <c r="J40" i="3"/>
  <c r="P40" i="3" s="1"/>
  <c r="J41" i="3"/>
  <c r="P41" i="3" s="1"/>
  <c r="R41" i="3" s="1"/>
  <c r="I41" i="4" s="1"/>
  <c r="J42" i="3"/>
  <c r="P42" i="3" s="1"/>
  <c r="J43" i="3"/>
  <c r="P43" i="3" s="1"/>
  <c r="R43" i="3" s="1"/>
  <c r="I43" i="4" s="1"/>
  <c r="J44" i="3"/>
  <c r="P44" i="3" s="1"/>
  <c r="J45" i="3"/>
  <c r="P45" i="3" s="1"/>
  <c r="R45" i="3" s="1"/>
  <c r="I45" i="4" s="1"/>
  <c r="J46" i="3"/>
  <c r="P46" i="3" s="1"/>
  <c r="R46" i="3" s="1"/>
  <c r="I46" i="4" s="1"/>
  <c r="J47" i="3"/>
  <c r="P47" i="3" s="1"/>
  <c r="J48" i="3"/>
  <c r="P48" i="3" s="1"/>
  <c r="J49" i="3"/>
  <c r="P49" i="3" s="1"/>
  <c r="R49" i="3" s="1"/>
  <c r="I49" i="4" s="1"/>
  <c r="J50" i="3"/>
  <c r="P50" i="3" s="1"/>
  <c r="J51" i="3"/>
  <c r="P51" i="3" s="1"/>
  <c r="J52" i="3"/>
  <c r="P52" i="3" s="1"/>
  <c r="J53" i="3"/>
  <c r="P53" i="3" s="1"/>
  <c r="R53" i="3" s="1"/>
  <c r="I53" i="4" s="1"/>
  <c r="J54" i="3"/>
  <c r="P54" i="3" s="1"/>
  <c r="R54" i="3" s="1"/>
  <c r="I54" i="4" s="1"/>
  <c r="J55" i="3"/>
  <c r="P55" i="3" s="1"/>
  <c r="R55" i="3" s="1"/>
  <c r="I55" i="4" s="1"/>
  <c r="J56" i="3"/>
  <c r="P56" i="3" s="1"/>
  <c r="J57" i="3"/>
  <c r="P57" i="3" s="1"/>
  <c r="R57" i="3" s="1"/>
  <c r="I57" i="4" s="1"/>
  <c r="J58" i="3"/>
  <c r="P58" i="3" s="1"/>
  <c r="R58" i="3" s="1"/>
  <c r="I58" i="4" s="1"/>
  <c r="J59" i="3"/>
  <c r="P59" i="3" s="1"/>
  <c r="J60" i="3"/>
  <c r="P60" i="3" s="1"/>
  <c r="J61" i="3"/>
  <c r="P61" i="3" s="1"/>
  <c r="R61" i="3" s="1"/>
  <c r="I61" i="4" s="1"/>
  <c r="J62" i="3"/>
  <c r="P62" i="3" s="1"/>
  <c r="J63" i="3"/>
  <c r="P63" i="3" s="1"/>
  <c r="J64" i="3"/>
  <c r="P64" i="3" s="1"/>
  <c r="J65" i="3"/>
  <c r="P65" i="3" s="1"/>
  <c r="R65" i="3" s="1"/>
  <c r="I65" i="4" s="1"/>
  <c r="J66" i="3"/>
  <c r="P66" i="3" s="1"/>
  <c r="R66" i="3" s="1"/>
  <c r="I66" i="4" s="1"/>
  <c r="J67" i="3"/>
  <c r="P67" i="3" s="1"/>
  <c r="J68" i="3"/>
  <c r="P68" i="3" s="1"/>
  <c r="J69" i="3"/>
  <c r="P69" i="3" s="1"/>
  <c r="R69" i="3" s="1"/>
  <c r="I69" i="4" s="1"/>
  <c r="J70" i="3"/>
  <c r="P70" i="3" s="1"/>
  <c r="R70" i="3" s="1"/>
  <c r="I70" i="4" s="1"/>
  <c r="J71" i="3"/>
  <c r="P71" i="3" s="1"/>
  <c r="J72" i="3"/>
  <c r="P72" i="3" s="1"/>
  <c r="J73" i="3"/>
  <c r="P73" i="3" s="1"/>
  <c r="R73" i="3" s="1"/>
  <c r="I73" i="4" s="1"/>
  <c r="J74" i="3"/>
  <c r="P74" i="3" s="1"/>
  <c r="R74" i="3" s="1"/>
  <c r="I74" i="4" s="1"/>
  <c r="J75" i="3"/>
  <c r="P75" i="3" s="1"/>
  <c r="J76" i="3"/>
  <c r="P76" i="3" s="1"/>
  <c r="J77" i="3"/>
  <c r="P77" i="3" s="1"/>
  <c r="R77" i="3" s="1"/>
  <c r="I77" i="4" s="1"/>
  <c r="J78" i="3"/>
  <c r="P78" i="3" s="1"/>
  <c r="R78" i="3" s="1"/>
  <c r="I78" i="4" s="1"/>
  <c r="J79" i="3"/>
  <c r="P79" i="3" s="1"/>
  <c r="J80" i="3"/>
  <c r="P80" i="3" s="1"/>
  <c r="J81" i="3"/>
  <c r="P81" i="3" s="1"/>
  <c r="R81" i="3" s="1"/>
  <c r="I81" i="4" s="1"/>
  <c r="J82" i="3"/>
  <c r="P82" i="3" s="1"/>
  <c r="J83" i="3"/>
  <c r="P83" i="3" s="1"/>
  <c r="J84" i="3"/>
  <c r="P84" i="3" s="1"/>
  <c r="J85" i="3"/>
  <c r="P85" i="3" s="1"/>
  <c r="R85" i="3" s="1"/>
  <c r="I85" i="4" s="1"/>
  <c r="J86" i="3"/>
  <c r="P86" i="3" s="1"/>
  <c r="R86" i="3" s="1"/>
  <c r="I86" i="4" s="1"/>
  <c r="J87" i="3"/>
  <c r="P87" i="3" s="1"/>
  <c r="J88" i="3"/>
  <c r="P88" i="3" s="1"/>
  <c r="J89" i="3"/>
  <c r="P89" i="3" s="1"/>
  <c r="R89" i="3" s="1"/>
  <c r="I89" i="4" s="1"/>
  <c r="J90" i="3"/>
  <c r="P90" i="3" s="1"/>
  <c r="R90" i="3" s="1"/>
  <c r="I90" i="4" s="1"/>
  <c r="J91" i="3"/>
  <c r="P91" i="3" s="1"/>
  <c r="J92" i="3"/>
  <c r="P92" i="3" s="1"/>
  <c r="J93" i="3"/>
  <c r="P93" i="3" s="1"/>
  <c r="R93" i="3" s="1"/>
  <c r="I93" i="4" s="1"/>
  <c r="J94" i="3"/>
  <c r="P94" i="3" s="1"/>
  <c r="R94" i="3" s="1"/>
  <c r="I94" i="4" s="1"/>
  <c r="J95" i="3"/>
  <c r="P95" i="3" s="1"/>
  <c r="J96" i="3"/>
  <c r="P96" i="3" s="1"/>
  <c r="J97" i="3"/>
  <c r="P97" i="3" s="1"/>
  <c r="R97" i="3" s="1"/>
  <c r="I97" i="4" s="1"/>
  <c r="J98" i="3"/>
  <c r="P98" i="3" s="1"/>
  <c r="R98" i="3" s="1"/>
  <c r="I98" i="4" s="1"/>
  <c r="J99" i="3"/>
  <c r="P99" i="3" s="1"/>
  <c r="J100" i="3"/>
  <c r="P100" i="3" s="1"/>
  <c r="J101" i="3"/>
  <c r="P101" i="3" s="1"/>
  <c r="R101" i="3" s="1"/>
  <c r="I101" i="4" s="1"/>
  <c r="J102" i="3"/>
  <c r="P102" i="3" s="1"/>
  <c r="R102" i="3" s="1"/>
  <c r="I102" i="4" s="1"/>
  <c r="J103" i="3"/>
  <c r="P103" i="3" s="1"/>
  <c r="J104" i="3"/>
  <c r="P104" i="3" s="1"/>
  <c r="J105" i="3"/>
  <c r="P105" i="3" s="1"/>
  <c r="R105" i="3" s="1"/>
  <c r="I105" i="4" s="1"/>
  <c r="J106" i="3"/>
  <c r="P106" i="3" s="1"/>
  <c r="J107" i="3"/>
  <c r="P107" i="3" s="1"/>
  <c r="J108" i="3"/>
  <c r="P108" i="3" s="1"/>
  <c r="J109" i="3"/>
  <c r="P109" i="3" s="1"/>
  <c r="R109" i="3" s="1"/>
  <c r="I109" i="4" s="1"/>
  <c r="J110" i="3"/>
  <c r="P110" i="3" s="1"/>
  <c r="R110" i="3" s="1"/>
  <c r="I110" i="4" s="1"/>
  <c r="J111" i="3"/>
  <c r="P111" i="3" s="1"/>
  <c r="R111" i="3" s="1"/>
  <c r="I111" i="4" s="1"/>
  <c r="J112" i="3"/>
  <c r="P112" i="3" s="1"/>
  <c r="J113" i="3"/>
  <c r="P113" i="3" s="1"/>
  <c r="R113" i="3" s="1"/>
  <c r="I113" i="4" s="1"/>
  <c r="J114" i="3"/>
  <c r="P114" i="3" s="1"/>
  <c r="R114" i="3" s="1"/>
  <c r="I114" i="4" s="1"/>
  <c r="J115" i="3"/>
  <c r="P115" i="3" s="1"/>
  <c r="J116" i="3"/>
  <c r="P116" i="3" s="1"/>
  <c r="R116" i="3" s="1"/>
  <c r="I116" i="4" s="1"/>
  <c r="J117" i="3"/>
  <c r="P117" i="3" s="1"/>
  <c r="R117" i="3" s="1"/>
  <c r="I117" i="4" s="1"/>
  <c r="J118" i="3"/>
  <c r="P118" i="3" s="1"/>
  <c r="R118" i="3" s="1"/>
  <c r="I118" i="4" s="1"/>
  <c r="J119" i="3"/>
  <c r="P119" i="3" s="1"/>
  <c r="R119" i="3" s="1"/>
  <c r="I119" i="4" s="1"/>
  <c r="J120" i="3"/>
  <c r="P120" i="3" s="1"/>
  <c r="J121" i="3"/>
  <c r="P121" i="3" s="1"/>
  <c r="R121" i="3" s="1"/>
  <c r="I121" i="4" s="1"/>
  <c r="J122" i="3"/>
  <c r="P122" i="3" s="1"/>
  <c r="J123" i="3"/>
  <c r="P123" i="3" s="1"/>
  <c r="J124" i="3"/>
  <c r="P124" i="3" s="1"/>
  <c r="J125" i="3"/>
  <c r="P125" i="3" s="1"/>
  <c r="R125" i="3" s="1"/>
  <c r="I125" i="4" s="1"/>
  <c r="J126" i="3"/>
  <c r="P126" i="3" s="1"/>
  <c r="R126" i="3" s="1"/>
  <c r="I126" i="4" s="1"/>
  <c r="J127" i="3"/>
  <c r="P127" i="3" s="1"/>
  <c r="J128" i="3"/>
  <c r="P128" i="3" s="1"/>
  <c r="J129" i="3"/>
  <c r="P129" i="3" s="1"/>
  <c r="R129" i="3" s="1"/>
  <c r="I129" i="4" s="1"/>
  <c r="J130" i="3"/>
  <c r="P130" i="3" s="1"/>
  <c r="R130" i="3" s="1"/>
  <c r="I130" i="4" s="1"/>
  <c r="J131" i="3"/>
  <c r="P131" i="3" s="1"/>
  <c r="J132" i="3"/>
  <c r="P132" i="3" s="1"/>
  <c r="J133" i="3"/>
  <c r="P133" i="3" s="1"/>
  <c r="R133" i="3" s="1"/>
  <c r="I133" i="4" s="1"/>
  <c r="J134" i="3"/>
  <c r="P134" i="3" s="1"/>
  <c r="R134" i="3" s="1"/>
  <c r="I134" i="4" s="1"/>
  <c r="J135" i="3"/>
  <c r="P135" i="3" s="1"/>
  <c r="J136" i="3"/>
  <c r="P136" i="3" s="1"/>
  <c r="J137" i="3"/>
  <c r="P137" i="3" s="1"/>
  <c r="R137" i="3" s="1"/>
  <c r="I137" i="4" s="1"/>
  <c r="J138" i="3"/>
  <c r="P138" i="3" s="1"/>
  <c r="J139" i="3"/>
  <c r="P139" i="3" s="1"/>
  <c r="J140" i="3"/>
  <c r="P140" i="3" s="1"/>
  <c r="R140" i="3" s="1"/>
  <c r="I140" i="4" s="1"/>
  <c r="J141" i="3"/>
  <c r="P141" i="3" s="1"/>
  <c r="R141" i="3" s="1"/>
  <c r="I141" i="4" s="1"/>
  <c r="J142" i="3"/>
  <c r="P142" i="3" s="1"/>
  <c r="R142" i="3" s="1"/>
  <c r="I142" i="4" s="1"/>
  <c r="J143" i="3"/>
  <c r="P143" i="3" s="1"/>
  <c r="J144" i="3"/>
  <c r="P144" i="3" s="1"/>
  <c r="J145" i="3"/>
  <c r="P145" i="3" s="1"/>
  <c r="R145" i="3" s="1"/>
  <c r="I145" i="4" s="1"/>
  <c r="J146" i="3"/>
  <c r="P146" i="3" s="1"/>
  <c r="R146" i="3" s="1"/>
  <c r="I146" i="4" s="1"/>
  <c r="J147" i="3"/>
  <c r="P147" i="3" s="1"/>
  <c r="J148" i="3"/>
  <c r="P148" i="3" s="1"/>
  <c r="J149" i="3"/>
  <c r="P149" i="3" s="1"/>
  <c r="R149" i="3" s="1"/>
  <c r="I149" i="4" s="1"/>
  <c r="J150" i="3"/>
  <c r="P150" i="3" s="1"/>
  <c r="R150" i="3" s="1"/>
  <c r="I150" i="4" s="1"/>
  <c r="J151" i="3"/>
  <c r="P151" i="3" s="1"/>
  <c r="J152" i="3"/>
  <c r="P152" i="3" s="1"/>
  <c r="J153" i="3"/>
  <c r="P153" i="3" s="1"/>
  <c r="R153" i="3" s="1"/>
  <c r="I153" i="4" s="1"/>
  <c r="J154" i="3"/>
  <c r="P154" i="3" s="1"/>
  <c r="J155" i="3"/>
  <c r="P155" i="3" s="1"/>
  <c r="J156" i="3"/>
  <c r="P156" i="3" s="1"/>
  <c r="J157" i="3"/>
  <c r="P157" i="3" s="1"/>
  <c r="R157" i="3" s="1"/>
  <c r="I157" i="4" s="1"/>
  <c r="J158" i="3"/>
  <c r="P158" i="3" s="1"/>
  <c r="R158" i="3" s="1"/>
  <c r="I158" i="4" s="1"/>
  <c r="J159" i="3"/>
  <c r="P159" i="3" s="1"/>
  <c r="J160" i="3"/>
  <c r="P160" i="3" s="1"/>
  <c r="J161" i="3"/>
  <c r="P161" i="3" s="1"/>
  <c r="R161" i="3" s="1"/>
  <c r="I161" i="4" s="1"/>
  <c r="J162" i="3"/>
  <c r="P162" i="3" s="1"/>
  <c r="R162" i="3" s="1"/>
  <c r="I162" i="4" s="1"/>
  <c r="J163" i="3"/>
  <c r="P163" i="3" s="1"/>
  <c r="J164" i="3"/>
  <c r="P164" i="3" s="1"/>
  <c r="J165" i="3"/>
  <c r="P165" i="3" s="1"/>
  <c r="R165" i="3" s="1"/>
  <c r="I165" i="4" s="1"/>
  <c r="J166" i="3"/>
  <c r="P166" i="3" s="1"/>
  <c r="R166" i="3" s="1"/>
  <c r="I166" i="4" s="1"/>
  <c r="J167" i="3"/>
  <c r="P167" i="3" s="1"/>
  <c r="J168" i="3"/>
  <c r="P168" i="3" s="1"/>
  <c r="J169" i="3"/>
  <c r="P169" i="3" s="1"/>
  <c r="R169" i="3" s="1"/>
  <c r="I169" i="4" s="1"/>
  <c r="J170" i="3"/>
  <c r="P170" i="3" s="1"/>
  <c r="J171" i="3"/>
  <c r="P171" i="3" s="1"/>
  <c r="R171" i="3" s="1"/>
  <c r="I171" i="4" s="1"/>
  <c r="J172" i="3"/>
  <c r="P172" i="3" s="1"/>
  <c r="J173" i="3"/>
  <c r="P173" i="3" s="1"/>
  <c r="R173" i="3" s="1"/>
  <c r="I173" i="4" s="1"/>
  <c r="J174" i="3"/>
  <c r="P174" i="3" s="1"/>
  <c r="R174" i="3" s="1"/>
  <c r="I174" i="4" s="1"/>
  <c r="J175" i="3"/>
  <c r="P175" i="3" s="1"/>
  <c r="R175" i="3" s="1"/>
  <c r="I175" i="4" s="1"/>
  <c r="J176" i="3"/>
  <c r="P176" i="3" s="1"/>
  <c r="J177" i="3"/>
  <c r="P177" i="3" s="1"/>
  <c r="R177" i="3" s="1"/>
  <c r="I177" i="4" s="1"/>
  <c r="J178" i="3"/>
  <c r="P178" i="3" s="1"/>
  <c r="R178" i="3" s="1"/>
  <c r="I178" i="4" s="1"/>
  <c r="J179" i="3"/>
  <c r="P179" i="3" s="1"/>
  <c r="J180" i="3"/>
  <c r="P180" i="3" s="1"/>
  <c r="J181" i="3"/>
  <c r="P181" i="3" s="1"/>
  <c r="R181" i="3" s="1"/>
  <c r="I181" i="4" s="1"/>
  <c r="J182" i="3"/>
  <c r="P182" i="3" s="1"/>
  <c r="R182" i="3" s="1"/>
  <c r="I182" i="4" s="1"/>
  <c r="J183" i="3"/>
  <c r="P183" i="3" s="1"/>
  <c r="R183" i="3" s="1"/>
  <c r="I183" i="4" s="1"/>
  <c r="J5" i="3"/>
  <c r="P5" i="3" s="1"/>
  <c r="R5" i="3" s="1"/>
  <c r="I5" i="4" s="1"/>
  <c r="H6" i="3"/>
  <c r="N6" i="3" s="1"/>
  <c r="E6" i="4" s="1"/>
  <c r="I6" i="3"/>
  <c r="O6" i="3" s="1"/>
  <c r="F6" i="4" s="1"/>
  <c r="H7" i="3"/>
  <c r="N7" i="3" s="1"/>
  <c r="I7" i="3"/>
  <c r="O7" i="3" s="1"/>
  <c r="F7" i="4" s="1"/>
  <c r="H8" i="3"/>
  <c r="N8" i="3" s="1"/>
  <c r="E8" i="4" s="1"/>
  <c r="I8" i="3"/>
  <c r="O8" i="3" s="1"/>
  <c r="F8" i="4" s="1"/>
  <c r="H9" i="3"/>
  <c r="N9" i="3" s="1"/>
  <c r="I9" i="3"/>
  <c r="O9" i="3" s="1"/>
  <c r="F9" i="4" s="1"/>
  <c r="H10" i="3"/>
  <c r="N10" i="3" s="1"/>
  <c r="E10" i="4" s="1"/>
  <c r="I10" i="3"/>
  <c r="O10" i="3" s="1"/>
  <c r="H11" i="3"/>
  <c r="N11" i="3" s="1"/>
  <c r="I11" i="3"/>
  <c r="O11" i="3" s="1"/>
  <c r="F11" i="4" s="1"/>
  <c r="H12" i="3"/>
  <c r="N12" i="3" s="1"/>
  <c r="E12" i="4" s="1"/>
  <c r="I12" i="3"/>
  <c r="O12" i="3" s="1"/>
  <c r="F12" i="4" s="1"/>
  <c r="H13" i="3"/>
  <c r="N13" i="3" s="1"/>
  <c r="E13" i="4" s="1"/>
  <c r="I13" i="3"/>
  <c r="O13" i="3" s="1"/>
  <c r="F13" i="4" s="1"/>
  <c r="H14" i="3"/>
  <c r="N14" i="3" s="1"/>
  <c r="E14" i="4" s="1"/>
  <c r="I14" i="3"/>
  <c r="O14" i="3" s="1"/>
  <c r="F14" i="4" s="1"/>
  <c r="H15" i="3"/>
  <c r="N15" i="3" s="1"/>
  <c r="I15" i="3"/>
  <c r="O15" i="3" s="1"/>
  <c r="F15" i="4" s="1"/>
  <c r="H16" i="3"/>
  <c r="N16" i="3" s="1"/>
  <c r="E16" i="4" s="1"/>
  <c r="I16" i="3"/>
  <c r="O16" i="3" s="1"/>
  <c r="F16" i="4" s="1"/>
  <c r="H17" i="3"/>
  <c r="N17" i="3" s="1"/>
  <c r="I17" i="3"/>
  <c r="O17" i="3" s="1"/>
  <c r="F17" i="4" s="1"/>
  <c r="H18" i="3"/>
  <c r="N18" i="3" s="1"/>
  <c r="E18" i="4" s="1"/>
  <c r="I18" i="3"/>
  <c r="O18" i="3" s="1"/>
  <c r="F18" i="4" s="1"/>
  <c r="H19" i="3"/>
  <c r="N19" i="3" s="1"/>
  <c r="I19" i="3"/>
  <c r="O19" i="3" s="1"/>
  <c r="F19" i="4" s="1"/>
  <c r="H20" i="3"/>
  <c r="N20" i="3" s="1"/>
  <c r="E20" i="4" s="1"/>
  <c r="I20" i="3"/>
  <c r="O20" i="3" s="1"/>
  <c r="F20" i="4" s="1"/>
  <c r="H21" i="3"/>
  <c r="N21" i="3" s="1"/>
  <c r="E21" i="4" s="1"/>
  <c r="I21" i="3"/>
  <c r="O21" i="3" s="1"/>
  <c r="F21" i="4" s="1"/>
  <c r="H22" i="3"/>
  <c r="N22" i="3" s="1"/>
  <c r="E22" i="4" s="1"/>
  <c r="I22" i="3"/>
  <c r="O22" i="3" s="1"/>
  <c r="H23" i="3"/>
  <c r="N23" i="3" s="1"/>
  <c r="I23" i="3"/>
  <c r="O23" i="3" s="1"/>
  <c r="H24" i="3"/>
  <c r="N24" i="3" s="1"/>
  <c r="E24" i="4" s="1"/>
  <c r="I24" i="3"/>
  <c r="O24" i="3" s="1"/>
  <c r="F24" i="4" s="1"/>
  <c r="H25" i="3"/>
  <c r="N25" i="3" s="1"/>
  <c r="I25" i="3"/>
  <c r="O25" i="3" s="1"/>
  <c r="F25" i="4" s="1"/>
  <c r="H26" i="3"/>
  <c r="N26" i="3" s="1"/>
  <c r="E26" i="4" s="1"/>
  <c r="I26" i="3"/>
  <c r="O26" i="3" s="1"/>
  <c r="F26" i="4" s="1"/>
  <c r="H27" i="3"/>
  <c r="N27" i="3" s="1"/>
  <c r="I27" i="3"/>
  <c r="O27" i="3" s="1"/>
  <c r="F27" i="4" s="1"/>
  <c r="H28" i="3"/>
  <c r="N28" i="3" s="1"/>
  <c r="E28" i="4" s="1"/>
  <c r="I28" i="3"/>
  <c r="O28" i="3" s="1"/>
  <c r="F28" i="4" s="1"/>
  <c r="H29" i="3"/>
  <c r="N29" i="3" s="1"/>
  <c r="I29" i="3"/>
  <c r="O29" i="3" s="1"/>
  <c r="F29" i="4" s="1"/>
  <c r="H30" i="3"/>
  <c r="N30" i="3" s="1"/>
  <c r="E30" i="4" s="1"/>
  <c r="I30" i="3"/>
  <c r="O30" i="3" s="1"/>
  <c r="F30" i="4" s="1"/>
  <c r="H31" i="3"/>
  <c r="N31" i="3" s="1"/>
  <c r="I31" i="3"/>
  <c r="O31" i="3" s="1"/>
  <c r="F31" i="4" s="1"/>
  <c r="H32" i="3"/>
  <c r="N32" i="3" s="1"/>
  <c r="E32" i="4" s="1"/>
  <c r="I32" i="3"/>
  <c r="O32" i="3" s="1"/>
  <c r="F32" i="4" s="1"/>
  <c r="H33" i="3"/>
  <c r="N33" i="3" s="1"/>
  <c r="I33" i="3"/>
  <c r="O33" i="3" s="1"/>
  <c r="F33" i="4" s="1"/>
  <c r="H34" i="3"/>
  <c r="N34" i="3" s="1"/>
  <c r="E34" i="4" s="1"/>
  <c r="I34" i="3"/>
  <c r="O34" i="3" s="1"/>
  <c r="F34" i="4" s="1"/>
  <c r="H35" i="3"/>
  <c r="N35" i="3" s="1"/>
  <c r="I35" i="3"/>
  <c r="O35" i="3" s="1"/>
  <c r="F35" i="4" s="1"/>
  <c r="H36" i="3"/>
  <c r="N36" i="3" s="1"/>
  <c r="E36" i="4" s="1"/>
  <c r="I36" i="3"/>
  <c r="O36" i="3" s="1"/>
  <c r="F36" i="4" s="1"/>
  <c r="H37" i="3"/>
  <c r="N37" i="3" s="1"/>
  <c r="I37" i="3"/>
  <c r="O37" i="3" s="1"/>
  <c r="F37" i="4" s="1"/>
  <c r="H38" i="3"/>
  <c r="N38" i="3" s="1"/>
  <c r="E38" i="4" s="1"/>
  <c r="I38" i="3"/>
  <c r="O38" i="3" s="1"/>
  <c r="F38" i="4" s="1"/>
  <c r="H39" i="3"/>
  <c r="N39" i="3" s="1"/>
  <c r="I39" i="3"/>
  <c r="O39" i="3" s="1"/>
  <c r="F39" i="4" s="1"/>
  <c r="H40" i="3"/>
  <c r="N40" i="3" s="1"/>
  <c r="E40" i="4" s="1"/>
  <c r="I40" i="3"/>
  <c r="O40" i="3" s="1"/>
  <c r="F40" i="4" s="1"/>
  <c r="H41" i="3"/>
  <c r="N41" i="3" s="1"/>
  <c r="E41" i="4" s="1"/>
  <c r="I41" i="3"/>
  <c r="O41" i="3" s="1"/>
  <c r="F41" i="4" s="1"/>
  <c r="H42" i="3"/>
  <c r="N42" i="3" s="1"/>
  <c r="E42" i="4" s="1"/>
  <c r="I42" i="3"/>
  <c r="O42" i="3" s="1"/>
  <c r="H43" i="3"/>
  <c r="N43" i="3" s="1"/>
  <c r="I43" i="3"/>
  <c r="O43" i="3" s="1"/>
  <c r="F43" i="4" s="1"/>
  <c r="H44" i="3"/>
  <c r="N44" i="3" s="1"/>
  <c r="E44" i="4" s="1"/>
  <c r="I44" i="3"/>
  <c r="O44" i="3" s="1"/>
  <c r="F44" i="4" s="1"/>
  <c r="H45" i="3"/>
  <c r="N45" i="3" s="1"/>
  <c r="I45" i="3"/>
  <c r="O45" i="3" s="1"/>
  <c r="F45" i="4" s="1"/>
  <c r="H46" i="3"/>
  <c r="N46" i="3" s="1"/>
  <c r="E46" i="4" s="1"/>
  <c r="I46" i="3"/>
  <c r="O46" i="3" s="1"/>
  <c r="F46" i="4" s="1"/>
  <c r="H47" i="3"/>
  <c r="N47" i="3" s="1"/>
  <c r="I47" i="3"/>
  <c r="O47" i="3" s="1"/>
  <c r="F47" i="4" s="1"/>
  <c r="H48" i="3"/>
  <c r="N48" i="3" s="1"/>
  <c r="E48" i="4" s="1"/>
  <c r="I48" i="3"/>
  <c r="O48" i="3" s="1"/>
  <c r="F48" i="4" s="1"/>
  <c r="H49" i="3"/>
  <c r="N49" i="3" s="1"/>
  <c r="I49" i="3"/>
  <c r="O49" i="3" s="1"/>
  <c r="F49" i="4" s="1"/>
  <c r="H50" i="3"/>
  <c r="N50" i="3" s="1"/>
  <c r="E50" i="4" s="1"/>
  <c r="I50" i="3"/>
  <c r="O50" i="3" s="1"/>
  <c r="F50" i="4" s="1"/>
  <c r="H51" i="3"/>
  <c r="N51" i="3" s="1"/>
  <c r="I51" i="3"/>
  <c r="O51" i="3" s="1"/>
  <c r="F51" i="4" s="1"/>
  <c r="H52" i="3"/>
  <c r="N52" i="3" s="1"/>
  <c r="E52" i="4" s="1"/>
  <c r="I52" i="3"/>
  <c r="O52" i="3" s="1"/>
  <c r="F52" i="4" s="1"/>
  <c r="H53" i="3"/>
  <c r="N53" i="3" s="1"/>
  <c r="I53" i="3"/>
  <c r="O53" i="3" s="1"/>
  <c r="F53" i="4" s="1"/>
  <c r="H54" i="3"/>
  <c r="N54" i="3" s="1"/>
  <c r="E54" i="4" s="1"/>
  <c r="I54" i="3"/>
  <c r="O54" i="3" s="1"/>
  <c r="H55" i="3"/>
  <c r="N55" i="3" s="1"/>
  <c r="I55" i="3"/>
  <c r="O55" i="3" s="1"/>
  <c r="F55" i="4" s="1"/>
  <c r="H56" i="3"/>
  <c r="N56" i="3" s="1"/>
  <c r="E56" i="4" s="1"/>
  <c r="I56" i="3"/>
  <c r="O56" i="3" s="1"/>
  <c r="F56" i="4" s="1"/>
  <c r="H57" i="3"/>
  <c r="N57" i="3" s="1"/>
  <c r="I57" i="3"/>
  <c r="O57" i="3" s="1"/>
  <c r="F57" i="4" s="1"/>
  <c r="H58" i="3"/>
  <c r="N58" i="3" s="1"/>
  <c r="E58" i="4" s="1"/>
  <c r="I58" i="3"/>
  <c r="O58" i="3" s="1"/>
  <c r="F58" i="4" s="1"/>
  <c r="H59" i="3"/>
  <c r="N59" i="3" s="1"/>
  <c r="I59" i="3"/>
  <c r="O59" i="3" s="1"/>
  <c r="F59" i="4" s="1"/>
  <c r="H60" i="3"/>
  <c r="N60" i="3" s="1"/>
  <c r="E60" i="4" s="1"/>
  <c r="I60" i="3"/>
  <c r="O60" i="3" s="1"/>
  <c r="F60" i="4" s="1"/>
  <c r="H61" i="3"/>
  <c r="N61" i="3" s="1"/>
  <c r="I61" i="3"/>
  <c r="O61" i="3" s="1"/>
  <c r="F61" i="4" s="1"/>
  <c r="H62" i="3"/>
  <c r="N62" i="3" s="1"/>
  <c r="E62" i="4" s="1"/>
  <c r="I62" i="3"/>
  <c r="O62" i="3" s="1"/>
  <c r="F62" i="4" s="1"/>
  <c r="H63" i="3"/>
  <c r="N63" i="3" s="1"/>
  <c r="I63" i="3"/>
  <c r="O63" i="3" s="1"/>
  <c r="F63" i="4" s="1"/>
  <c r="H64" i="3"/>
  <c r="N64" i="3" s="1"/>
  <c r="E64" i="4" s="1"/>
  <c r="I64" i="3"/>
  <c r="O64" i="3" s="1"/>
  <c r="F64" i="4" s="1"/>
  <c r="H65" i="3"/>
  <c r="N65" i="3" s="1"/>
  <c r="I65" i="3"/>
  <c r="O65" i="3" s="1"/>
  <c r="F65" i="4" s="1"/>
  <c r="H66" i="3"/>
  <c r="N66" i="3" s="1"/>
  <c r="E66" i="4" s="1"/>
  <c r="I66" i="3"/>
  <c r="O66" i="3" s="1"/>
  <c r="H67" i="3"/>
  <c r="N67" i="3" s="1"/>
  <c r="I67" i="3"/>
  <c r="O67" i="3" s="1"/>
  <c r="F67" i="4" s="1"/>
  <c r="H68" i="3"/>
  <c r="N68" i="3" s="1"/>
  <c r="E68" i="4" s="1"/>
  <c r="I68" i="3"/>
  <c r="O68" i="3" s="1"/>
  <c r="F68" i="4" s="1"/>
  <c r="H69" i="3"/>
  <c r="N69" i="3" s="1"/>
  <c r="I69" i="3"/>
  <c r="O69" i="3" s="1"/>
  <c r="F69" i="4" s="1"/>
  <c r="H70" i="3"/>
  <c r="N70" i="3" s="1"/>
  <c r="E70" i="4" s="1"/>
  <c r="I70" i="3"/>
  <c r="O70" i="3" s="1"/>
  <c r="H71" i="3"/>
  <c r="N71" i="3" s="1"/>
  <c r="I71" i="3"/>
  <c r="O71" i="3" s="1"/>
  <c r="F71" i="4" s="1"/>
  <c r="H72" i="3"/>
  <c r="N72" i="3" s="1"/>
  <c r="E72" i="4" s="1"/>
  <c r="I72" i="3"/>
  <c r="O72" i="3" s="1"/>
  <c r="F72" i="4" s="1"/>
  <c r="H73" i="3"/>
  <c r="N73" i="3" s="1"/>
  <c r="I73" i="3"/>
  <c r="O73" i="3" s="1"/>
  <c r="F73" i="4" s="1"/>
  <c r="H74" i="3"/>
  <c r="N74" i="3" s="1"/>
  <c r="E74" i="4" s="1"/>
  <c r="I74" i="3"/>
  <c r="O74" i="3" s="1"/>
  <c r="H75" i="3"/>
  <c r="N75" i="3" s="1"/>
  <c r="I75" i="3"/>
  <c r="O75" i="3" s="1"/>
  <c r="F75" i="4" s="1"/>
  <c r="H76" i="3"/>
  <c r="N76" i="3" s="1"/>
  <c r="E76" i="4" s="1"/>
  <c r="I76" i="3"/>
  <c r="O76" i="3" s="1"/>
  <c r="F76" i="4" s="1"/>
  <c r="H77" i="3"/>
  <c r="N77" i="3" s="1"/>
  <c r="I77" i="3"/>
  <c r="O77" i="3" s="1"/>
  <c r="F77" i="4" s="1"/>
  <c r="H78" i="3"/>
  <c r="N78" i="3" s="1"/>
  <c r="E78" i="4" s="1"/>
  <c r="I78" i="3"/>
  <c r="O78" i="3" s="1"/>
  <c r="F78" i="4" s="1"/>
  <c r="H79" i="3"/>
  <c r="N79" i="3" s="1"/>
  <c r="I79" i="3"/>
  <c r="O79" i="3" s="1"/>
  <c r="F79" i="4" s="1"/>
  <c r="H80" i="3"/>
  <c r="N80" i="3" s="1"/>
  <c r="E80" i="4" s="1"/>
  <c r="I80" i="3"/>
  <c r="O80" i="3" s="1"/>
  <c r="F80" i="4" s="1"/>
  <c r="H81" i="3"/>
  <c r="N81" i="3" s="1"/>
  <c r="E81" i="4" s="1"/>
  <c r="I81" i="3"/>
  <c r="O81" i="3" s="1"/>
  <c r="F81" i="4" s="1"/>
  <c r="H82" i="3"/>
  <c r="N82" i="3" s="1"/>
  <c r="E82" i="4" s="1"/>
  <c r="I82" i="3"/>
  <c r="O82" i="3" s="1"/>
  <c r="F82" i="4" s="1"/>
  <c r="H83" i="3"/>
  <c r="N83" i="3" s="1"/>
  <c r="I83" i="3"/>
  <c r="O83" i="3" s="1"/>
  <c r="F83" i="4" s="1"/>
  <c r="H84" i="3"/>
  <c r="N84" i="3" s="1"/>
  <c r="E84" i="4" s="1"/>
  <c r="I84" i="3"/>
  <c r="O84" i="3" s="1"/>
  <c r="F84" i="4" s="1"/>
  <c r="H85" i="3"/>
  <c r="N85" i="3" s="1"/>
  <c r="I85" i="3"/>
  <c r="O85" i="3" s="1"/>
  <c r="F85" i="4" s="1"/>
  <c r="H86" i="3"/>
  <c r="N86" i="3" s="1"/>
  <c r="E86" i="4" s="1"/>
  <c r="I86" i="3"/>
  <c r="O86" i="3" s="1"/>
  <c r="H87" i="3"/>
  <c r="N87" i="3" s="1"/>
  <c r="I87" i="3"/>
  <c r="O87" i="3" s="1"/>
  <c r="F87" i="4" s="1"/>
  <c r="H88" i="3"/>
  <c r="N88" i="3" s="1"/>
  <c r="E88" i="4" s="1"/>
  <c r="I88" i="3"/>
  <c r="O88" i="3" s="1"/>
  <c r="F88" i="4" s="1"/>
  <c r="H89" i="3"/>
  <c r="N89" i="3" s="1"/>
  <c r="I89" i="3"/>
  <c r="O89" i="3" s="1"/>
  <c r="F89" i="4" s="1"/>
  <c r="H90" i="3"/>
  <c r="N90" i="3" s="1"/>
  <c r="E90" i="4" s="1"/>
  <c r="I90" i="3"/>
  <c r="O90" i="3" s="1"/>
  <c r="F90" i="4" s="1"/>
  <c r="H91" i="3"/>
  <c r="N91" i="3" s="1"/>
  <c r="I91" i="3"/>
  <c r="O91" i="3" s="1"/>
  <c r="F91" i="4" s="1"/>
  <c r="H92" i="3"/>
  <c r="N92" i="3" s="1"/>
  <c r="E92" i="4" s="1"/>
  <c r="I92" i="3"/>
  <c r="O92" i="3" s="1"/>
  <c r="F92" i="4" s="1"/>
  <c r="H93" i="3"/>
  <c r="N93" i="3" s="1"/>
  <c r="E93" i="4" s="1"/>
  <c r="I93" i="3"/>
  <c r="O93" i="3" s="1"/>
  <c r="F93" i="4" s="1"/>
  <c r="H94" i="3"/>
  <c r="N94" i="3" s="1"/>
  <c r="E94" i="4" s="1"/>
  <c r="I94" i="3"/>
  <c r="O94" i="3" s="1"/>
  <c r="F94" i="4" s="1"/>
  <c r="H95" i="3"/>
  <c r="N95" i="3" s="1"/>
  <c r="I95" i="3"/>
  <c r="O95" i="3" s="1"/>
  <c r="F95" i="4" s="1"/>
  <c r="H96" i="3"/>
  <c r="N96" i="3" s="1"/>
  <c r="E96" i="4" s="1"/>
  <c r="I96" i="3"/>
  <c r="O96" i="3" s="1"/>
  <c r="F96" i="4" s="1"/>
  <c r="H97" i="3"/>
  <c r="N97" i="3" s="1"/>
  <c r="E97" i="4" s="1"/>
  <c r="I97" i="3"/>
  <c r="O97" i="3" s="1"/>
  <c r="F97" i="4" s="1"/>
  <c r="H98" i="3"/>
  <c r="N98" i="3" s="1"/>
  <c r="E98" i="4" s="1"/>
  <c r="I98" i="3"/>
  <c r="O98" i="3" s="1"/>
  <c r="F98" i="4" s="1"/>
  <c r="H99" i="3"/>
  <c r="N99" i="3" s="1"/>
  <c r="I99" i="3"/>
  <c r="O99" i="3" s="1"/>
  <c r="F99" i="4" s="1"/>
  <c r="H100" i="3"/>
  <c r="N100" i="3" s="1"/>
  <c r="E100" i="4" s="1"/>
  <c r="I100" i="3"/>
  <c r="O100" i="3" s="1"/>
  <c r="F100" i="4" s="1"/>
  <c r="H101" i="3"/>
  <c r="N101" i="3" s="1"/>
  <c r="I101" i="3"/>
  <c r="O101" i="3" s="1"/>
  <c r="F101" i="4" s="1"/>
  <c r="H102" i="3"/>
  <c r="N102" i="3" s="1"/>
  <c r="E102" i="4" s="1"/>
  <c r="I102" i="3"/>
  <c r="O102" i="3" s="1"/>
  <c r="F102" i="4" s="1"/>
  <c r="H103" i="3"/>
  <c r="N103" i="3" s="1"/>
  <c r="I103" i="3"/>
  <c r="O103" i="3" s="1"/>
  <c r="F103" i="4" s="1"/>
  <c r="H104" i="3"/>
  <c r="N104" i="3" s="1"/>
  <c r="E104" i="4" s="1"/>
  <c r="I104" i="3"/>
  <c r="O104" i="3" s="1"/>
  <c r="F104" i="4" s="1"/>
  <c r="H105" i="3"/>
  <c r="N105" i="3" s="1"/>
  <c r="E105" i="4" s="1"/>
  <c r="I105" i="3"/>
  <c r="O105" i="3" s="1"/>
  <c r="F105" i="4" s="1"/>
  <c r="H106" i="3"/>
  <c r="N106" i="3" s="1"/>
  <c r="E106" i="4" s="1"/>
  <c r="I106" i="3"/>
  <c r="O106" i="3" s="1"/>
  <c r="F106" i="4" s="1"/>
  <c r="H107" i="3"/>
  <c r="N107" i="3" s="1"/>
  <c r="I107" i="3"/>
  <c r="O107" i="3" s="1"/>
  <c r="F107" i="4" s="1"/>
  <c r="H108" i="3"/>
  <c r="N108" i="3" s="1"/>
  <c r="E108" i="4" s="1"/>
  <c r="I108" i="3"/>
  <c r="O108" i="3" s="1"/>
  <c r="F108" i="4" s="1"/>
  <c r="H109" i="3"/>
  <c r="N109" i="3" s="1"/>
  <c r="I109" i="3"/>
  <c r="O109" i="3" s="1"/>
  <c r="F109" i="4" s="1"/>
  <c r="H110" i="3"/>
  <c r="N110" i="3" s="1"/>
  <c r="E110" i="4" s="1"/>
  <c r="I110" i="3"/>
  <c r="O110" i="3" s="1"/>
  <c r="F110" i="4" s="1"/>
  <c r="H111" i="3"/>
  <c r="N111" i="3" s="1"/>
  <c r="I111" i="3"/>
  <c r="O111" i="3" s="1"/>
  <c r="F111" i="4" s="1"/>
  <c r="H112" i="3"/>
  <c r="N112" i="3" s="1"/>
  <c r="E112" i="4" s="1"/>
  <c r="I112" i="3"/>
  <c r="O112" i="3" s="1"/>
  <c r="F112" i="4" s="1"/>
  <c r="H113" i="3"/>
  <c r="N113" i="3" s="1"/>
  <c r="I113" i="3"/>
  <c r="O113" i="3" s="1"/>
  <c r="F113" i="4" s="1"/>
  <c r="H114" i="3"/>
  <c r="N114" i="3" s="1"/>
  <c r="E114" i="4" s="1"/>
  <c r="I114" i="3"/>
  <c r="O114" i="3" s="1"/>
  <c r="F114" i="4" s="1"/>
  <c r="H115" i="3"/>
  <c r="N115" i="3" s="1"/>
  <c r="I115" i="3"/>
  <c r="O115" i="3" s="1"/>
  <c r="F115" i="4" s="1"/>
  <c r="H116" i="3"/>
  <c r="N116" i="3" s="1"/>
  <c r="E116" i="4" s="1"/>
  <c r="I116" i="3"/>
  <c r="O116" i="3" s="1"/>
  <c r="F116" i="4" s="1"/>
  <c r="H117" i="3"/>
  <c r="N117" i="3" s="1"/>
  <c r="I117" i="3"/>
  <c r="O117" i="3" s="1"/>
  <c r="F117" i="4" s="1"/>
  <c r="H118" i="3"/>
  <c r="N118" i="3" s="1"/>
  <c r="E118" i="4" s="1"/>
  <c r="I118" i="3"/>
  <c r="O118" i="3" s="1"/>
  <c r="F118" i="4" s="1"/>
  <c r="H119" i="3"/>
  <c r="N119" i="3" s="1"/>
  <c r="I119" i="3"/>
  <c r="O119" i="3" s="1"/>
  <c r="F119" i="4" s="1"/>
  <c r="H120" i="3"/>
  <c r="N120" i="3" s="1"/>
  <c r="E120" i="4" s="1"/>
  <c r="I120" i="3"/>
  <c r="O120" i="3" s="1"/>
  <c r="F120" i="4" s="1"/>
  <c r="H121" i="3"/>
  <c r="N121" i="3" s="1"/>
  <c r="I121" i="3"/>
  <c r="O121" i="3" s="1"/>
  <c r="F121" i="4" s="1"/>
  <c r="H122" i="3"/>
  <c r="N122" i="3" s="1"/>
  <c r="E122" i="4" s="1"/>
  <c r="I122" i="3"/>
  <c r="O122" i="3" s="1"/>
  <c r="F122" i="4" s="1"/>
  <c r="H123" i="3"/>
  <c r="N123" i="3" s="1"/>
  <c r="I123" i="3"/>
  <c r="O123" i="3" s="1"/>
  <c r="F123" i="4" s="1"/>
  <c r="H124" i="3"/>
  <c r="N124" i="3" s="1"/>
  <c r="E124" i="4" s="1"/>
  <c r="I124" i="3"/>
  <c r="O124" i="3" s="1"/>
  <c r="F124" i="4" s="1"/>
  <c r="H125" i="3"/>
  <c r="N125" i="3" s="1"/>
  <c r="E125" i="4" s="1"/>
  <c r="I125" i="3"/>
  <c r="O125" i="3" s="1"/>
  <c r="F125" i="4" s="1"/>
  <c r="H126" i="3"/>
  <c r="N126" i="3" s="1"/>
  <c r="E126" i="4" s="1"/>
  <c r="I126" i="3"/>
  <c r="O126" i="3" s="1"/>
  <c r="F126" i="4" s="1"/>
  <c r="H127" i="3"/>
  <c r="N127" i="3" s="1"/>
  <c r="I127" i="3"/>
  <c r="O127" i="3" s="1"/>
  <c r="F127" i="4" s="1"/>
  <c r="H128" i="3"/>
  <c r="N128" i="3" s="1"/>
  <c r="E128" i="4" s="1"/>
  <c r="I128" i="3"/>
  <c r="O128" i="3" s="1"/>
  <c r="F128" i="4" s="1"/>
  <c r="H129" i="3"/>
  <c r="N129" i="3" s="1"/>
  <c r="I129" i="3"/>
  <c r="O129" i="3" s="1"/>
  <c r="F129" i="4" s="1"/>
  <c r="H130" i="3"/>
  <c r="N130" i="3" s="1"/>
  <c r="E130" i="4" s="1"/>
  <c r="I130" i="3"/>
  <c r="O130" i="3" s="1"/>
  <c r="F130" i="4" s="1"/>
  <c r="H131" i="3"/>
  <c r="N131" i="3" s="1"/>
  <c r="I131" i="3"/>
  <c r="O131" i="3" s="1"/>
  <c r="F131" i="4" s="1"/>
  <c r="H132" i="3"/>
  <c r="N132" i="3" s="1"/>
  <c r="E132" i="4" s="1"/>
  <c r="I132" i="3"/>
  <c r="O132" i="3" s="1"/>
  <c r="F132" i="4" s="1"/>
  <c r="H133" i="3"/>
  <c r="N133" i="3" s="1"/>
  <c r="E133" i="4" s="1"/>
  <c r="I133" i="3"/>
  <c r="O133" i="3" s="1"/>
  <c r="F133" i="4" s="1"/>
  <c r="H134" i="3"/>
  <c r="N134" i="3" s="1"/>
  <c r="E134" i="4" s="1"/>
  <c r="I134" i="3"/>
  <c r="O134" i="3" s="1"/>
  <c r="F134" i="4" s="1"/>
  <c r="H135" i="3"/>
  <c r="N135" i="3" s="1"/>
  <c r="I135" i="3"/>
  <c r="O135" i="3" s="1"/>
  <c r="F135" i="4" s="1"/>
  <c r="H136" i="3"/>
  <c r="N136" i="3" s="1"/>
  <c r="E136" i="4" s="1"/>
  <c r="I136" i="3"/>
  <c r="O136" i="3" s="1"/>
  <c r="F136" i="4" s="1"/>
  <c r="H137" i="3"/>
  <c r="N137" i="3" s="1"/>
  <c r="I137" i="3"/>
  <c r="O137" i="3" s="1"/>
  <c r="F137" i="4" s="1"/>
  <c r="H138" i="3"/>
  <c r="N138" i="3" s="1"/>
  <c r="E138" i="4" s="1"/>
  <c r="I138" i="3"/>
  <c r="O138" i="3" s="1"/>
  <c r="F138" i="4" s="1"/>
  <c r="H139" i="3"/>
  <c r="N139" i="3" s="1"/>
  <c r="I139" i="3"/>
  <c r="O139" i="3" s="1"/>
  <c r="F139" i="4" s="1"/>
  <c r="H140" i="3"/>
  <c r="N140" i="3" s="1"/>
  <c r="E140" i="4" s="1"/>
  <c r="I140" i="3"/>
  <c r="O140" i="3" s="1"/>
  <c r="F140" i="4" s="1"/>
  <c r="H141" i="3"/>
  <c r="N141" i="3" s="1"/>
  <c r="E141" i="4" s="1"/>
  <c r="I141" i="3"/>
  <c r="O141" i="3" s="1"/>
  <c r="F141" i="4" s="1"/>
  <c r="H142" i="3"/>
  <c r="N142" i="3" s="1"/>
  <c r="E142" i="4" s="1"/>
  <c r="I142" i="3"/>
  <c r="O142" i="3" s="1"/>
  <c r="F142" i="4" s="1"/>
  <c r="H143" i="3"/>
  <c r="N143" i="3" s="1"/>
  <c r="I143" i="3"/>
  <c r="O143" i="3" s="1"/>
  <c r="F143" i="4" s="1"/>
  <c r="H144" i="3"/>
  <c r="N144" i="3" s="1"/>
  <c r="E144" i="4" s="1"/>
  <c r="I144" i="3"/>
  <c r="O144" i="3" s="1"/>
  <c r="F144" i="4" s="1"/>
  <c r="H145" i="3"/>
  <c r="N145" i="3" s="1"/>
  <c r="I145" i="3"/>
  <c r="O145" i="3" s="1"/>
  <c r="F145" i="4" s="1"/>
  <c r="H146" i="3"/>
  <c r="N146" i="3" s="1"/>
  <c r="E146" i="4" s="1"/>
  <c r="I146" i="3"/>
  <c r="O146" i="3" s="1"/>
  <c r="F146" i="4" s="1"/>
  <c r="H147" i="3"/>
  <c r="N147" i="3" s="1"/>
  <c r="I147" i="3"/>
  <c r="O147" i="3" s="1"/>
  <c r="F147" i="4" s="1"/>
  <c r="H148" i="3"/>
  <c r="N148" i="3" s="1"/>
  <c r="E148" i="4" s="1"/>
  <c r="I148" i="3"/>
  <c r="O148" i="3" s="1"/>
  <c r="F148" i="4" s="1"/>
  <c r="H149" i="3"/>
  <c r="N149" i="3" s="1"/>
  <c r="E149" i="4" s="1"/>
  <c r="I149" i="3"/>
  <c r="O149" i="3" s="1"/>
  <c r="F149" i="4" s="1"/>
  <c r="H150" i="3"/>
  <c r="N150" i="3" s="1"/>
  <c r="E150" i="4" s="1"/>
  <c r="I150" i="3"/>
  <c r="O150" i="3" s="1"/>
  <c r="F150" i="4" s="1"/>
  <c r="H151" i="3"/>
  <c r="N151" i="3" s="1"/>
  <c r="I151" i="3"/>
  <c r="O151" i="3" s="1"/>
  <c r="F151" i="4" s="1"/>
  <c r="H152" i="3"/>
  <c r="N152" i="3" s="1"/>
  <c r="E152" i="4" s="1"/>
  <c r="I152" i="3"/>
  <c r="O152" i="3" s="1"/>
  <c r="F152" i="4" s="1"/>
  <c r="H153" i="3"/>
  <c r="N153" i="3" s="1"/>
  <c r="I153" i="3"/>
  <c r="O153" i="3" s="1"/>
  <c r="F153" i="4" s="1"/>
  <c r="H154" i="3"/>
  <c r="N154" i="3" s="1"/>
  <c r="E154" i="4" s="1"/>
  <c r="I154" i="3"/>
  <c r="O154" i="3" s="1"/>
  <c r="F154" i="4" s="1"/>
  <c r="H155" i="3"/>
  <c r="N155" i="3" s="1"/>
  <c r="I155" i="3"/>
  <c r="O155" i="3" s="1"/>
  <c r="F155" i="4" s="1"/>
  <c r="H156" i="3"/>
  <c r="N156" i="3" s="1"/>
  <c r="E156" i="4" s="1"/>
  <c r="I156" i="3"/>
  <c r="O156" i="3" s="1"/>
  <c r="F156" i="4" s="1"/>
  <c r="H157" i="3"/>
  <c r="N157" i="3" s="1"/>
  <c r="I157" i="3"/>
  <c r="O157" i="3" s="1"/>
  <c r="F157" i="4" s="1"/>
  <c r="H158" i="3"/>
  <c r="N158" i="3" s="1"/>
  <c r="E158" i="4" s="1"/>
  <c r="I158" i="3"/>
  <c r="O158" i="3" s="1"/>
  <c r="F158" i="4" s="1"/>
  <c r="H159" i="3"/>
  <c r="N159" i="3" s="1"/>
  <c r="I159" i="3"/>
  <c r="O159" i="3" s="1"/>
  <c r="F159" i="4" s="1"/>
  <c r="H160" i="3"/>
  <c r="N160" i="3" s="1"/>
  <c r="E160" i="4" s="1"/>
  <c r="I160" i="3"/>
  <c r="O160" i="3" s="1"/>
  <c r="F160" i="4" s="1"/>
  <c r="H161" i="3"/>
  <c r="N161" i="3" s="1"/>
  <c r="I161" i="3"/>
  <c r="O161" i="3" s="1"/>
  <c r="F161" i="4" s="1"/>
  <c r="H162" i="3"/>
  <c r="N162" i="3" s="1"/>
  <c r="E162" i="4" s="1"/>
  <c r="I162" i="3"/>
  <c r="O162" i="3" s="1"/>
  <c r="F162" i="4" s="1"/>
  <c r="H163" i="3"/>
  <c r="N163" i="3" s="1"/>
  <c r="I163" i="3"/>
  <c r="O163" i="3" s="1"/>
  <c r="F163" i="4" s="1"/>
  <c r="H164" i="3"/>
  <c r="N164" i="3" s="1"/>
  <c r="E164" i="4" s="1"/>
  <c r="I164" i="3"/>
  <c r="O164" i="3" s="1"/>
  <c r="F164" i="4" s="1"/>
  <c r="H165" i="3"/>
  <c r="N165" i="3" s="1"/>
  <c r="I165" i="3"/>
  <c r="O165" i="3" s="1"/>
  <c r="F165" i="4" s="1"/>
  <c r="H166" i="3"/>
  <c r="N166" i="3" s="1"/>
  <c r="E166" i="4" s="1"/>
  <c r="I166" i="3"/>
  <c r="O166" i="3" s="1"/>
  <c r="F166" i="4" s="1"/>
  <c r="H167" i="3"/>
  <c r="N167" i="3" s="1"/>
  <c r="I167" i="3"/>
  <c r="O167" i="3" s="1"/>
  <c r="F167" i="4" s="1"/>
  <c r="H168" i="3"/>
  <c r="N168" i="3" s="1"/>
  <c r="E168" i="4" s="1"/>
  <c r="I168" i="3"/>
  <c r="O168" i="3" s="1"/>
  <c r="F168" i="4" s="1"/>
  <c r="H169" i="3"/>
  <c r="N169" i="3" s="1"/>
  <c r="I169" i="3"/>
  <c r="O169" i="3" s="1"/>
  <c r="F169" i="4" s="1"/>
  <c r="H170" i="3"/>
  <c r="N170" i="3" s="1"/>
  <c r="E170" i="4" s="1"/>
  <c r="I170" i="3"/>
  <c r="O170" i="3" s="1"/>
  <c r="F170" i="4" s="1"/>
  <c r="H171" i="3"/>
  <c r="N171" i="3" s="1"/>
  <c r="I171" i="3"/>
  <c r="O171" i="3" s="1"/>
  <c r="F171" i="4" s="1"/>
  <c r="H172" i="3"/>
  <c r="N172" i="3" s="1"/>
  <c r="E172" i="4" s="1"/>
  <c r="I172" i="3"/>
  <c r="O172" i="3" s="1"/>
  <c r="F172" i="4" s="1"/>
  <c r="H173" i="3"/>
  <c r="N173" i="3" s="1"/>
  <c r="E173" i="4" s="1"/>
  <c r="I173" i="3"/>
  <c r="O173" i="3" s="1"/>
  <c r="F173" i="4" s="1"/>
  <c r="H174" i="3"/>
  <c r="N174" i="3" s="1"/>
  <c r="E174" i="4" s="1"/>
  <c r="I174" i="3"/>
  <c r="O174" i="3" s="1"/>
  <c r="F174" i="4" s="1"/>
  <c r="H175" i="3"/>
  <c r="N175" i="3" s="1"/>
  <c r="I175" i="3"/>
  <c r="O175" i="3" s="1"/>
  <c r="F175" i="4" s="1"/>
  <c r="H176" i="3"/>
  <c r="N176" i="3" s="1"/>
  <c r="E176" i="4" s="1"/>
  <c r="I176" i="3"/>
  <c r="O176" i="3" s="1"/>
  <c r="F176" i="4" s="1"/>
  <c r="H177" i="3"/>
  <c r="N177" i="3" s="1"/>
  <c r="E177" i="4" s="1"/>
  <c r="I177" i="3"/>
  <c r="O177" i="3" s="1"/>
  <c r="F177" i="4" s="1"/>
  <c r="H178" i="3"/>
  <c r="N178" i="3" s="1"/>
  <c r="E178" i="4" s="1"/>
  <c r="I178" i="3"/>
  <c r="O178" i="3" s="1"/>
  <c r="F178" i="4" s="1"/>
  <c r="H179" i="3"/>
  <c r="N179" i="3" s="1"/>
  <c r="I179" i="3"/>
  <c r="O179" i="3" s="1"/>
  <c r="F179" i="4" s="1"/>
  <c r="H180" i="3"/>
  <c r="N180" i="3" s="1"/>
  <c r="E180" i="4" s="1"/>
  <c r="I180" i="3"/>
  <c r="O180" i="3" s="1"/>
  <c r="F180" i="4" s="1"/>
  <c r="H181" i="3"/>
  <c r="N181" i="3" s="1"/>
  <c r="I181" i="3"/>
  <c r="O181" i="3" s="1"/>
  <c r="F181" i="4" s="1"/>
  <c r="H182" i="3"/>
  <c r="N182" i="3" s="1"/>
  <c r="E182" i="4" s="1"/>
  <c r="I182" i="3"/>
  <c r="O182" i="3" s="1"/>
  <c r="F182" i="4" s="1"/>
  <c r="H183" i="3"/>
  <c r="N183" i="3" s="1"/>
  <c r="I183" i="3"/>
  <c r="O183" i="3" s="1"/>
  <c r="F183" i="4" s="1"/>
  <c r="B6" i="4"/>
  <c r="C6" i="4"/>
  <c r="D6" i="4"/>
  <c r="B7" i="4"/>
  <c r="C7" i="4"/>
  <c r="D7" i="4"/>
  <c r="B8" i="4"/>
  <c r="C8" i="4"/>
  <c r="D8" i="4"/>
  <c r="B9" i="4"/>
  <c r="C9" i="4"/>
  <c r="D9" i="4"/>
  <c r="E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E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F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E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E61" i="4"/>
  <c r="B62" i="4"/>
  <c r="C62" i="4"/>
  <c r="D62" i="4"/>
  <c r="B63" i="4"/>
  <c r="C63" i="4"/>
  <c r="D63" i="4"/>
  <c r="B64" i="4"/>
  <c r="C64" i="4"/>
  <c r="D64" i="4"/>
  <c r="B65" i="4"/>
  <c r="C65" i="4"/>
  <c r="D65" i="4"/>
  <c r="E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E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E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E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E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E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E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C5" i="4"/>
  <c r="D5" i="4"/>
  <c r="B5" i="4"/>
  <c r="C4" i="4"/>
  <c r="D4" i="4"/>
  <c r="F4" i="4"/>
  <c r="B4" i="4"/>
  <c r="C3" i="4"/>
  <c r="D3" i="4"/>
  <c r="E3" i="4"/>
  <c r="F3" i="4"/>
  <c r="G3" i="4"/>
  <c r="H3" i="4"/>
  <c r="I3" i="4"/>
  <c r="B3" i="4"/>
  <c r="G6" i="3"/>
  <c r="G7" i="3"/>
  <c r="G8" i="3"/>
  <c r="G9" i="3"/>
  <c r="G10" i="3"/>
  <c r="G11" i="3"/>
  <c r="G3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5" i="3"/>
  <c r="F6" i="3"/>
  <c r="F7" i="3"/>
  <c r="F8" i="3"/>
  <c r="F9" i="3"/>
  <c r="F10" i="3"/>
  <c r="F11" i="3"/>
  <c r="F3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5" i="3"/>
  <c r="E6" i="3"/>
  <c r="E7" i="3"/>
  <c r="E8" i="3"/>
  <c r="E9" i="3"/>
  <c r="E10" i="3"/>
  <c r="E11" i="3"/>
  <c r="E3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5" i="3"/>
  <c r="N3" i="3" l="1"/>
  <c r="E4" i="4" s="1"/>
  <c r="R34" i="3"/>
  <c r="I34" i="4" s="1"/>
  <c r="G34" i="4"/>
  <c r="R6" i="3"/>
  <c r="I6" i="4" s="1"/>
  <c r="G6" i="4"/>
  <c r="R42" i="3"/>
  <c r="I42" i="4" s="1"/>
  <c r="G42" i="4"/>
  <c r="R172" i="3"/>
  <c r="I172" i="4" s="1"/>
  <c r="G172" i="4"/>
  <c r="R136" i="3"/>
  <c r="I136" i="4" s="1"/>
  <c r="G136" i="4"/>
  <c r="R132" i="3"/>
  <c r="I132" i="4" s="1"/>
  <c r="G132" i="4"/>
  <c r="R112" i="3"/>
  <c r="I112" i="4" s="1"/>
  <c r="G112" i="4"/>
  <c r="R104" i="3"/>
  <c r="I104" i="4" s="1"/>
  <c r="G104" i="4"/>
  <c r="R92" i="3"/>
  <c r="I92" i="4" s="1"/>
  <c r="G92" i="4"/>
  <c r="R60" i="3"/>
  <c r="I60" i="4" s="1"/>
  <c r="G60" i="4"/>
  <c r="R56" i="3"/>
  <c r="I56" i="4" s="1"/>
  <c r="G56" i="4"/>
  <c r="R52" i="3"/>
  <c r="I52" i="4" s="1"/>
  <c r="G52" i="4"/>
  <c r="R48" i="3"/>
  <c r="I48" i="4" s="1"/>
  <c r="G48" i="4"/>
  <c r="R44" i="3"/>
  <c r="I44" i="4" s="1"/>
  <c r="G44" i="4"/>
  <c r="R40" i="3"/>
  <c r="I40" i="4" s="1"/>
  <c r="G40" i="4"/>
  <c r="R36" i="3"/>
  <c r="I36" i="4" s="1"/>
  <c r="G36" i="4"/>
  <c r="R32" i="3"/>
  <c r="I32" i="4" s="1"/>
  <c r="G32" i="4"/>
  <c r="R28" i="3"/>
  <c r="I28" i="4" s="1"/>
  <c r="G28" i="4"/>
  <c r="R24" i="3"/>
  <c r="I24" i="4" s="1"/>
  <c r="G24" i="4"/>
  <c r="R20" i="3"/>
  <c r="I20" i="4" s="1"/>
  <c r="G20" i="4"/>
  <c r="R16" i="3"/>
  <c r="I16" i="4" s="1"/>
  <c r="G16" i="4"/>
  <c r="R12" i="3"/>
  <c r="I12" i="4" s="1"/>
  <c r="G12" i="4"/>
  <c r="R8" i="3"/>
  <c r="I8" i="4" s="1"/>
  <c r="G8" i="4"/>
  <c r="R167" i="3"/>
  <c r="I167" i="4" s="1"/>
  <c r="G167" i="4"/>
  <c r="R159" i="3"/>
  <c r="I159" i="4" s="1"/>
  <c r="G159" i="4"/>
  <c r="R155" i="3"/>
  <c r="I155" i="4" s="1"/>
  <c r="G155" i="4"/>
  <c r="R151" i="3"/>
  <c r="I151" i="4" s="1"/>
  <c r="G151" i="4"/>
  <c r="R143" i="3"/>
  <c r="I143" i="4" s="1"/>
  <c r="G143" i="4"/>
  <c r="R139" i="3"/>
  <c r="I139" i="4" s="1"/>
  <c r="G139" i="4"/>
  <c r="R135" i="3"/>
  <c r="I135" i="4" s="1"/>
  <c r="G135" i="4"/>
  <c r="R127" i="3"/>
  <c r="I127" i="4" s="1"/>
  <c r="G127" i="4"/>
  <c r="R123" i="3"/>
  <c r="I123" i="4" s="1"/>
  <c r="G123" i="4"/>
  <c r="R107" i="3"/>
  <c r="I107" i="4" s="1"/>
  <c r="G107" i="4"/>
  <c r="R103" i="3"/>
  <c r="I103" i="4" s="1"/>
  <c r="G103" i="4"/>
  <c r="R95" i="3"/>
  <c r="I95" i="4" s="1"/>
  <c r="G95" i="4"/>
  <c r="R87" i="3"/>
  <c r="I87" i="4" s="1"/>
  <c r="G87" i="4"/>
  <c r="R83" i="3"/>
  <c r="I83" i="4" s="1"/>
  <c r="G83" i="4"/>
  <c r="R75" i="3"/>
  <c r="I75" i="4" s="1"/>
  <c r="G75" i="4"/>
  <c r="R71" i="3"/>
  <c r="I71" i="4" s="1"/>
  <c r="G71" i="4"/>
  <c r="R67" i="3"/>
  <c r="I67" i="4" s="1"/>
  <c r="G67" i="4"/>
  <c r="R63" i="3"/>
  <c r="I63" i="4" s="1"/>
  <c r="G63" i="4"/>
  <c r="R51" i="3"/>
  <c r="I51" i="4" s="1"/>
  <c r="G51" i="4"/>
  <c r="R35" i="3"/>
  <c r="I35" i="4" s="1"/>
  <c r="G35" i="4"/>
  <c r="R31" i="3"/>
  <c r="I31" i="4" s="1"/>
  <c r="G31" i="4"/>
  <c r="R23" i="3"/>
  <c r="I23" i="4" s="1"/>
  <c r="G23" i="4"/>
  <c r="R19" i="3"/>
  <c r="I19" i="4" s="1"/>
  <c r="G19" i="4"/>
  <c r="R11" i="3"/>
  <c r="I11" i="4" s="1"/>
  <c r="G11" i="4"/>
  <c r="R7" i="3"/>
  <c r="I7" i="4" s="1"/>
  <c r="G7" i="4"/>
  <c r="R3" i="3"/>
  <c r="I4" i="4" s="1"/>
  <c r="Q14" i="3"/>
  <c r="H14" i="4" s="1"/>
  <c r="Q55" i="3"/>
  <c r="H55" i="4" s="1"/>
  <c r="Q51" i="3"/>
  <c r="H51" i="4" s="1"/>
  <c r="Q47" i="3"/>
  <c r="H47" i="4" s="1"/>
  <c r="Q43" i="3"/>
  <c r="H43" i="4" s="1"/>
  <c r="Q39" i="3"/>
  <c r="H39" i="4" s="1"/>
  <c r="Q35" i="3"/>
  <c r="H35" i="4" s="1"/>
  <c r="Q27" i="3"/>
  <c r="H27" i="4" s="1"/>
  <c r="Q23" i="3"/>
  <c r="H23" i="4" s="1"/>
  <c r="Q19" i="3"/>
  <c r="H19" i="4" s="1"/>
  <c r="Q15" i="3"/>
  <c r="H15" i="4" s="1"/>
  <c r="Q11" i="3"/>
  <c r="H11" i="4" s="1"/>
  <c r="Q7" i="3"/>
  <c r="H7" i="4" s="1"/>
  <c r="E7" i="4"/>
  <c r="G90" i="4"/>
  <c r="G78" i="4"/>
  <c r="G58" i="4"/>
  <c r="G54" i="4"/>
  <c r="G174" i="4"/>
  <c r="G158" i="4"/>
  <c r="G146" i="4"/>
  <c r="G134" i="4"/>
  <c r="G118" i="4"/>
  <c r="G74" i="4"/>
  <c r="G46" i="4"/>
  <c r="G38" i="4"/>
  <c r="G22" i="4"/>
  <c r="G182" i="4"/>
  <c r="G130" i="4"/>
  <c r="G110" i="4"/>
  <c r="G98" i="4"/>
  <c r="G140" i="4"/>
  <c r="G116" i="4"/>
  <c r="R180" i="3"/>
  <c r="I180" i="4" s="1"/>
  <c r="G180" i="4"/>
  <c r="R176" i="3"/>
  <c r="I176" i="4" s="1"/>
  <c r="G176" i="4"/>
  <c r="R168" i="3"/>
  <c r="I168" i="4" s="1"/>
  <c r="G168" i="4"/>
  <c r="R164" i="3"/>
  <c r="I164" i="4" s="1"/>
  <c r="G164" i="4"/>
  <c r="R160" i="3"/>
  <c r="I160" i="4" s="1"/>
  <c r="G160" i="4"/>
  <c r="R156" i="3"/>
  <c r="I156" i="4" s="1"/>
  <c r="G156" i="4"/>
  <c r="R152" i="3"/>
  <c r="I152" i="4" s="1"/>
  <c r="G152" i="4"/>
  <c r="R148" i="3"/>
  <c r="I148" i="4" s="1"/>
  <c r="G148" i="4"/>
  <c r="R144" i="3"/>
  <c r="I144" i="4" s="1"/>
  <c r="G144" i="4"/>
  <c r="R128" i="3"/>
  <c r="I128" i="4" s="1"/>
  <c r="G128" i="4"/>
  <c r="R124" i="3"/>
  <c r="I124" i="4" s="1"/>
  <c r="G124" i="4"/>
  <c r="R120" i="3"/>
  <c r="I120" i="4" s="1"/>
  <c r="G120" i="4"/>
  <c r="R108" i="3"/>
  <c r="I108" i="4" s="1"/>
  <c r="G108" i="4"/>
  <c r="R100" i="3"/>
  <c r="I100" i="4" s="1"/>
  <c r="G100" i="4"/>
  <c r="R96" i="3"/>
  <c r="I96" i="4" s="1"/>
  <c r="G96" i="4"/>
  <c r="R88" i="3"/>
  <c r="I88" i="4" s="1"/>
  <c r="G88" i="4"/>
  <c r="R84" i="3"/>
  <c r="I84" i="4" s="1"/>
  <c r="G84" i="4"/>
  <c r="R80" i="3"/>
  <c r="I80" i="4" s="1"/>
  <c r="G80" i="4"/>
  <c r="R76" i="3"/>
  <c r="I76" i="4" s="1"/>
  <c r="G76" i="4"/>
  <c r="R72" i="3"/>
  <c r="I72" i="4" s="1"/>
  <c r="G72" i="4"/>
  <c r="R68" i="3"/>
  <c r="I68" i="4" s="1"/>
  <c r="G68" i="4"/>
  <c r="R64" i="3"/>
  <c r="I64" i="4" s="1"/>
  <c r="G64" i="4"/>
  <c r="Q183" i="3"/>
  <c r="H183" i="4" s="1"/>
  <c r="Q175" i="3"/>
  <c r="H175" i="4" s="1"/>
  <c r="Q171" i="3"/>
  <c r="H171" i="4" s="1"/>
  <c r="Q167" i="3"/>
  <c r="H167" i="4" s="1"/>
  <c r="Q163" i="3"/>
  <c r="H163" i="4" s="1"/>
  <c r="Q159" i="3"/>
  <c r="H159" i="4" s="1"/>
  <c r="Q155" i="3"/>
  <c r="H155" i="4" s="1"/>
  <c r="Q147" i="3"/>
  <c r="H147" i="4" s="1"/>
  <c r="Q135" i="3"/>
  <c r="H135" i="4" s="1"/>
  <c r="Q127" i="3"/>
  <c r="H127" i="4" s="1"/>
  <c r="Q123" i="3"/>
  <c r="H123" i="4" s="1"/>
  <c r="Q119" i="3"/>
  <c r="H119" i="4" s="1"/>
  <c r="Q115" i="3"/>
  <c r="H115" i="4" s="1"/>
  <c r="Q111" i="3"/>
  <c r="H111" i="4" s="1"/>
  <c r="Q107" i="3"/>
  <c r="H107" i="4" s="1"/>
  <c r="Q103" i="3"/>
  <c r="H103" i="4" s="1"/>
  <c r="Q99" i="3"/>
  <c r="H99" i="4" s="1"/>
  <c r="Q95" i="3"/>
  <c r="H95" i="4" s="1"/>
  <c r="Q87" i="3"/>
  <c r="H87" i="4" s="1"/>
  <c r="Q83" i="3"/>
  <c r="H83" i="4" s="1"/>
  <c r="Q79" i="3"/>
  <c r="H79" i="4" s="1"/>
  <c r="Q75" i="3"/>
  <c r="H75" i="4" s="1"/>
  <c r="Q71" i="3"/>
  <c r="H71" i="4" s="1"/>
  <c r="Q67" i="3"/>
  <c r="H67" i="4" s="1"/>
  <c r="Q59" i="3"/>
  <c r="H59" i="4" s="1"/>
  <c r="Q179" i="3"/>
  <c r="H179" i="4" s="1"/>
  <c r="Q151" i="3"/>
  <c r="H151" i="4" s="1"/>
  <c r="Q143" i="3"/>
  <c r="H143" i="4" s="1"/>
  <c r="Q139" i="3"/>
  <c r="H139" i="4" s="1"/>
  <c r="Q131" i="3"/>
  <c r="H131" i="4" s="1"/>
  <c r="Q91" i="3"/>
  <c r="H91" i="4" s="1"/>
  <c r="Q90" i="3"/>
  <c r="H90" i="4" s="1"/>
  <c r="Q82" i="3"/>
  <c r="H82" i="4" s="1"/>
  <c r="Q78" i="3"/>
  <c r="H78" i="4" s="1"/>
  <c r="Q70" i="3"/>
  <c r="H70" i="4" s="1"/>
  <c r="Q66" i="3"/>
  <c r="H66" i="4" s="1"/>
  <c r="Q62" i="3"/>
  <c r="H62" i="4" s="1"/>
  <c r="Q58" i="3"/>
  <c r="H58" i="4" s="1"/>
  <c r="Q50" i="3"/>
  <c r="H50" i="4" s="1"/>
  <c r="Q46" i="3"/>
  <c r="H46" i="4" s="1"/>
  <c r="Q38" i="3"/>
  <c r="H38" i="4" s="1"/>
  <c r="Q34" i="3"/>
  <c r="H34" i="4" s="1"/>
  <c r="Q30" i="3"/>
  <c r="H30" i="4" s="1"/>
  <c r="Q26" i="3"/>
  <c r="H26" i="4" s="1"/>
  <c r="Q18" i="3"/>
  <c r="H18" i="4" s="1"/>
  <c r="E47" i="4"/>
  <c r="E23" i="4"/>
  <c r="Q63" i="3"/>
  <c r="H63" i="4" s="1"/>
  <c r="E63" i="4"/>
  <c r="Q31" i="3"/>
  <c r="H31" i="4" s="1"/>
  <c r="E31" i="4"/>
  <c r="E55" i="4"/>
  <c r="R170" i="3"/>
  <c r="I170" i="4" s="1"/>
  <c r="G170" i="4"/>
  <c r="R154" i="3"/>
  <c r="I154" i="4" s="1"/>
  <c r="G154" i="4"/>
  <c r="R122" i="3"/>
  <c r="I122" i="4" s="1"/>
  <c r="G122" i="4"/>
  <c r="R106" i="3"/>
  <c r="I106" i="4" s="1"/>
  <c r="G106" i="4"/>
  <c r="R82" i="3"/>
  <c r="I82" i="4" s="1"/>
  <c r="G82" i="4"/>
  <c r="R30" i="3"/>
  <c r="I30" i="4" s="1"/>
  <c r="G30" i="4"/>
  <c r="G5" i="4"/>
  <c r="G162" i="4"/>
  <c r="G126" i="4"/>
  <c r="G94" i="4"/>
  <c r="E87" i="4"/>
  <c r="G70" i="4"/>
  <c r="Q181" i="3"/>
  <c r="H181" i="4" s="1"/>
  <c r="Q173" i="3"/>
  <c r="H173" i="4" s="1"/>
  <c r="Q157" i="3"/>
  <c r="H157" i="4" s="1"/>
  <c r="Q153" i="3"/>
  <c r="H153" i="4" s="1"/>
  <c r="E153" i="4"/>
  <c r="R147" i="3"/>
  <c r="I147" i="4" s="1"/>
  <c r="G147" i="4"/>
  <c r="Q145" i="3"/>
  <c r="H145" i="4" s="1"/>
  <c r="Q137" i="3"/>
  <c r="H137" i="4" s="1"/>
  <c r="E137" i="4"/>
  <c r="Q133" i="3"/>
  <c r="H133" i="4" s="1"/>
  <c r="Q125" i="3"/>
  <c r="H125" i="4" s="1"/>
  <c r="R115" i="3"/>
  <c r="I115" i="4" s="1"/>
  <c r="G115" i="4"/>
  <c r="Q109" i="3"/>
  <c r="H109" i="4" s="1"/>
  <c r="Q105" i="3"/>
  <c r="H105" i="4" s="1"/>
  <c r="Q101" i="3"/>
  <c r="H101" i="4" s="1"/>
  <c r="R99" i="3"/>
  <c r="I99" i="4" s="1"/>
  <c r="G99" i="4"/>
  <c r="Q97" i="3"/>
  <c r="H97" i="4" s="1"/>
  <c r="Q93" i="3"/>
  <c r="H93" i="4" s="1"/>
  <c r="R91" i="3"/>
  <c r="I91" i="4" s="1"/>
  <c r="G91" i="4"/>
  <c r="Q89" i="3"/>
  <c r="H89" i="4" s="1"/>
  <c r="E89" i="4"/>
  <c r="Q85" i="3"/>
  <c r="H85" i="4" s="1"/>
  <c r="Q81" i="3"/>
  <c r="H81" i="4" s="1"/>
  <c r="R79" i="3"/>
  <c r="I79" i="4" s="1"/>
  <c r="G79" i="4"/>
  <c r="Q77" i="3"/>
  <c r="H77" i="4" s="1"/>
  <c r="Q74" i="3"/>
  <c r="H74" i="4" s="1"/>
  <c r="F74" i="4"/>
  <c r="Q73" i="3"/>
  <c r="H73" i="4" s="1"/>
  <c r="Q69" i="3"/>
  <c r="H69" i="4" s="1"/>
  <c r="E69" i="4"/>
  <c r="Q65" i="3"/>
  <c r="H65" i="4" s="1"/>
  <c r="Q61" i="3"/>
  <c r="H61" i="4" s="1"/>
  <c r="R59" i="3"/>
  <c r="I59" i="4" s="1"/>
  <c r="G59" i="4"/>
  <c r="Q57" i="3"/>
  <c r="H57" i="4" s="1"/>
  <c r="E57" i="4"/>
  <c r="Q54" i="3"/>
  <c r="H54" i="4" s="1"/>
  <c r="F54" i="4"/>
  <c r="Q53" i="3"/>
  <c r="H53" i="4" s="1"/>
  <c r="Q49" i="3"/>
  <c r="H49" i="4" s="1"/>
  <c r="R47" i="3"/>
  <c r="I47" i="4" s="1"/>
  <c r="G47" i="4"/>
  <c r="Q45" i="3"/>
  <c r="H45" i="4" s="1"/>
  <c r="Q42" i="3"/>
  <c r="H42" i="4" s="1"/>
  <c r="F42" i="4"/>
  <c r="Q41" i="3"/>
  <c r="H41" i="4" s="1"/>
  <c r="Q37" i="3"/>
  <c r="H37" i="4" s="1"/>
  <c r="E37" i="4"/>
  <c r="Q33" i="3"/>
  <c r="H33" i="4" s="1"/>
  <c r="Q29" i="3"/>
  <c r="H29" i="4" s="1"/>
  <c r="R27" i="3"/>
  <c r="I27" i="4" s="1"/>
  <c r="G27" i="4"/>
  <c r="Q25" i="3"/>
  <c r="H25" i="4" s="1"/>
  <c r="E25" i="4"/>
  <c r="Q22" i="3"/>
  <c r="H22" i="4" s="1"/>
  <c r="F22" i="4"/>
  <c r="Q21" i="3"/>
  <c r="H21" i="4" s="1"/>
  <c r="Q17" i="3"/>
  <c r="H17" i="4" s="1"/>
  <c r="R15" i="3"/>
  <c r="I15" i="4" s="1"/>
  <c r="G15" i="4"/>
  <c r="Q10" i="3"/>
  <c r="H10" i="4" s="1"/>
  <c r="F10" i="4"/>
  <c r="E79" i="4"/>
  <c r="E39" i="4"/>
  <c r="R138" i="3"/>
  <c r="I138" i="4" s="1"/>
  <c r="G138" i="4"/>
  <c r="R62" i="3"/>
  <c r="I62" i="4" s="1"/>
  <c r="G62" i="4"/>
  <c r="R50" i="3"/>
  <c r="I50" i="4" s="1"/>
  <c r="G50" i="4"/>
  <c r="R18" i="3"/>
  <c r="I18" i="4" s="1"/>
  <c r="G18" i="4"/>
  <c r="G150" i="4"/>
  <c r="G102" i="4"/>
  <c r="G86" i="4"/>
  <c r="E71" i="4"/>
  <c r="G66" i="4"/>
  <c r="R179" i="3"/>
  <c r="I179" i="4" s="1"/>
  <c r="G179" i="4"/>
  <c r="Q177" i="3"/>
  <c r="H177" i="4" s="1"/>
  <c r="Q169" i="3"/>
  <c r="H169" i="4" s="1"/>
  <c r="E169" i="4"/>
  <c r="Q165" i="3"/>
  <c r="H165" i="4" s="1"/>
  <c r="R163" i="3"/>
  <c r="I163" i="4" s="1"/>
  <c r="G163" i="4"/>
  <c r="Q161" i="3"/>
  <c r="H161" i="4" s="1"/>
  <c r="Q149" i="3"/>
  <c r="H149" i="4" s="1"/>
  <c r="Q141" i="3"/>
  <c r="H141" i="4" s="1"/>
  <c r="R131" i="3"/>
  <c r="I131" i="4" s="1"/>
  <c r="G131" i="4"/>
  <c r="Q129" i="3"/>
  <c r="H129" i="4" s="1"/>
  <c r="Q121" i="3"/>
  <c r="H121" i="4" s="1"/>
  <c r="E121" i="4"/>
  <c r="Q117" i="3"/>
  <c r="H117" i="4" s="1"/>
  <c r="Q113" i="3"/>
  <c r="H113" i="4" s="1"/>
  <c r="Q86" i="3"/>
  <c r="H86" i="4" s="1"/>
  <c r="F86" i="4"/>
  <c r="G183" i="4"/>
  <c r="E181" i="4"/>
  <c r="G178" i="4"/>
  <c r="G175" i="4"/>
  <c r="G171" i="4"/>
  <c r="G166" i="4"/>
  <c r="E157" i="4"/>
  <c r="G142" i="4"/>
  <c r="E129" i="4"/>
  <c r="G119" i="4"/>
  <c r="E117" i="4"/>
  <c r="G114" i="4"/>
  <c r="G111" i="4"/>
  <c r="E109" i="4"/>
  <c r="G105" i="4"/>
  <c r="E77" i="4"/>
  <c r="E73" i="4"/>
  <c r="F70" i="4"/>
  <c r="F66" i="4"/>
  <c r="G55" i="4"/>
  <c r="E53" i="4"/>
  <c r="E49" i="4"/>
  <c r="G43" i="4"/>
  <c r="G39" i="4"/>
  <c r="E33" i="4"/>
  <c r="E29" i="4"/>
  <c r="G26" i="4"/>
  <c r="E15" i="4"/>
  <c r="G14" i="4"/>
  <c r="G10" i="4"/>
  <c r="G181" i="4"/>
  <c r="G165" i="4"/>
  <c r="G149" i="4"/>
  <c r="G133" i="4"/>
  <c r="G117" i="4"/>
  <c r="G97" i="4"/>
  <c r="E91" i="4"/>
  <c r="E83" i="4"/>
  <c r="E75" i="4"/>
  <c r="E67" i="4"/>
  <c r="E59" i="4"/>
  <c r="E51" i="4"/>
  <c r="E43" i="4"/>
  <c r="E35" i="4"/>
  <c r="E27" i="4"/>
  <c r="E19" i="4"/>
  <c r="E11" i="4"/>
  <c r="G173" i="4"/>
  <c r="G157" i="4"/>
  <c r="G141" i="4"/>
  <c r="G125" i="4"/>
  <c r="E179" i="4"/>
  <c r="E171" i="4"/>
  <c r="E163" i="4"/>
  <c r="E155" i="4"/>
  <c r="E147" i="4"/>
  <c r="E139" i="4"/>
  <c r="E131" i="4"/>
  <c r="E123" i="4"/>
  <c r="E115" i="4"/>
  <c r="E107" i="4"/>
  <c r="E99" i="4"/>
  <c r="G177" i="4"/>
  <c r="G169" i="4"/>
  <c r="G161" i="4"/>
  <c r="G129" i="4"/>
  <c r="G121" i="4"/>
  <c r="G113" i="4"/>
  <c r="G109" i="4"/>
  <c r="G101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1" i="4"/>
  <c r="G37" i="4"/>
  <c r="G33" i="4"/>
  <c r="G29" i="4"/>
  <c r="G25" i="4"/>
  <c r="G21" i="4"/>
  <c r="G17" i="4"/>
  <c r="G13" i="4"/>
  <c r="G9" i="4"/>
  <c r="G153" i="4"/>
  <c r="G145" i="4"/>
  <c r="G137" i="4"/>
  <c r="E183" i="4"/>
  <c r="E175" i="4"/>
  <c r="E167" i="4"/>
  <c r="E159" i="4"/>
  <c r="E151" i="4"/>
  <c r="E143" i="4"/>
  <c r="E135" i="4"/>
  <c r="E127" i="4"/>
  <c r="E119" i="4"/>
  <c r="E111" i="4"/>
  <c r="E103" i="4"/>
  <c r="E95" i="4"/>
  <c r="Q180" i="3"/>
  <c r="H180" i="4" s="1"/>
  <c r="Q176" i="3"/>
  <c r="H176" i="4" s="1"/>
  <c r="Q172" i="3"/>
  <c r="H172" i="4" s="1"/>
  <c r="Q168" i="3"/>
  <c r="H168" i="4" s="1"/>
  <c r="Q164" i="3"/>
  <c r="H164" i="4" s="1"/>
  <c r="Q160" i="3"/>
  <c r="H160" i="4" s="1"/>
  <c r="Q156" i="3"/>
  <c r="H156" i="4" s="1"/>
  <c r="Q152" i="3"/>
  <c r="H152" i="4" s="1"/>
  <c r="Q148" i="3"/>
  <c r="H148" i="4" s="1"/>
  <c r="Q144" i="3"/>
  <c r="H144" i="4" s="1"/>
  <c r="Q140" i="3"/>
  <c r="H140" i="4" s="1"/>
  <c r="Q136" i="3"/>
  <c r="H136" i="4" s="1"/>
  <c r="Q132" i="3"/>
  <c r="H132" i="4" s="1"/>
  <c r="Q128" i="3"/>
  <c r="H128" i="4" s="1"/>
  <c r="Q124" i="3"/>
  <c r="H124" i="4" s="1"/>
  <c r="Q120" i="3"/>
  <c r="H120" i="4" s="1"/>
  <c r="Q116" i="3"/>
  <c r="H116" i="4" s="1"/>
  <c r="Q112" i="3"/>
  <c r="H112" i="4" s="1"/>
  <c r="Q108" i="3"/>
  <c r="H108" i="4" s="1"/>
  <c r="Q104" i="3"/>
  <c r="H104" i="4" s="1"/>
  <c r="Q100" i="3"/>
  <c r="H100" i="4" s="1"/>
  <c r="Q96" i="3"/>
  <c r="H96" i="4" s="1"/>
  <c r="Q92" i="3"/>
  <c r="H92" i="4" s="1"/>
  <c r="Q88" i="3"/>
  <c r="H88" i="4" s="1"/>
  <c r="Q84" i="3"/>
  <c r="H84" i="4" s="1"/>
  <c r="Q80" i="3"/>
  <c r="H80" i="4" s="1"/>
  <c r="Q76" i="3"/>
  <c r="H76" i="4" s="1"/>
  <c r="Q72" i="3"/>
  <c r="H72" i="4" s="1"/>
  <c r="Q68" i="3"/>
  <c r="H68" i="4" s="1"/>
  <c r="Q64" i="3"/>
  <c r="H64" i="4" s="1"/>
  <c r="Q60" i="3"/>
  <c r="H60" i="4" s="1"/>
  <c r="Q56" i="3"/>
  <c r="H56" i="4" s="1"/>
  <c r="Q52" i="3"/>
  <c r="H52" i="4" s="1"/>
  <c r="Q48" i="3"/>
  <c r="H48" i="4" s="1"/>
  <c r="Q44" i="3"/>
  <c r="H44" i="4" s="1"/>
  <c r="Q40" i="3"/>
  <c r="H40" i="4" s="1"/>
  <c r="Q36" i="3"/>
  <c r="H36" i="4" s="1"/>
  <c r="Q32" i="3"/>
  <c r="H32" i="4" s="1"/>
  <c r="Q28" i="3"/>
  <c r="H28" i="4" s="1"/>
  <c r="Q24" i="3"/>
  <c r="H24" i="4" s="1"/>
  <c r="Q20" i="3"/>
  <c r="H20" i="4" s="1"/>
  <c r="Q16" i="3"/>
  <c r="H16" i="4" s="1"/>
  <c r="Q12" i="3"/>
  <c r="H12" i="4" s="1"/>
  <c r="Q8" i="3"/>
  <c r="H8" i="4" s="1"/>
  <c r="Q13" i="3"/>
  <c r="H13" i="4" s="1"/>
  <c r="Q9" i="3"/>
  <c r="H9" i="4" s="1"/>
  <c r="Q182" i="3"/>
  <c r="H182" i="4" s="1"/>
  <c r="Q178" i="3"/>
  <c r="H178" i="4" s="1"/>
  <c r="Q174" i="3"/>
  <c r="H174" i="4" s="1"/>
  <c r="Q170" i="3"/>
  <c r="H170" i="4" s="1"/>
  <c r="Q166" i="3"/>
  <c r="H166" i="4" s="1"/>
  <c r="Q162" i="3"/>
  <c r="H162" i="4" s="1"/>
  <c r="Q158" i="3"/>
  <c r="H158" i="4" s="1"/>
  <c r="Q154" i="3"/>
  <c r="H154" i="4" s="1"/>
  <c r="Q150" i="3"/>
  <c r="H150" i="4" s="1"/>
  <c r="Q146" i="3"/>
  <c r="H146" i="4" s="1"/>
  <c r="Q142" i="3"/>
  <c r="H142" i="4" s="1"/>
  <c r="Q138" i="3"/>
  <c r="H138" i="4" s="1"/>
  <c r="Q134" i="3"/>
  <c r="H134" i="4" s="1"/>
  <c r="Q130" i="3"/>
  <c r="H130" i="4" s="1"/>
  <c r="Q126" i="3"/>
  <c r="H126" i="4" s="1"/>
  <c r="Q122" i="3"/>
  <c r="H122" i="4" s="1"/>
  <c r="Q118" i="3"/>
  <c r="H118" i="4" s="1"/>
  <c r="Q114" i="3"/>
  <c r="H114" i="4" s="1"/>
  <c r="Q110" i="3"/>
  <c r="H110" i="4" s="1"/>
  <c r="Q106" i="3"/>
  <c r="H106" i="4" s="1"/>
  <c r="Q102" i="3"/>
  <c r="H102" i="4" s="1"/>
  <c r="Q98" i="3"/>
  <c r="H98" i="4" s="1"/>
  <c r="Q94" i="3"/>
  <c r="H94" i="4" s="1"/>
  <c r="Q6" i="3"/>
  <c r="H6" i="4" s="1"/>
  <c r="H5" i="3"/>
  <c r="N5" i="3" s="1"/>
  <c r="I5" i="3"/>
  <c r="O5" i="3" s="1"/>
  <c r="F5" i="4" s="1"/>
  <c r="Q3" i="3" l="1"/>
  <c r="H4" i="4" s="1"/>
  <c r="E5" i="4"/>
  <c r="Q5" i="3"/>
  <c r="H5" i="4" s="1"/>
</calcChain>
</file>

<file path=xl/sharedStrings.xml><?xml version="1.0" encoding="utf-8"?>
<sst xmlns="http://schemas.openxmlformats.org/spreadsheetml/2006/main" count="982" uniqueCount="568">
  <si>
    <t>사업장</t>
  </si>
  <si>
    <t>사업장명</t>
  </si>
  <si>
    <t>E006</t>
  </si>
  <si>
    <t>후아유 명동점</t>
  </si>
  <si>
    <t>E026</t>
  </si>
  <si>
    <t>스파오 동성로중앙</t>
  </si>
  <si>
    <t>E031</t>
  </si>
  <si>
    <t>이랜드 답십리점</t>
  </si>
  <si>
    <t>E032</t>
  </si>
  <si>
    <t>이랜드월드 속초지점</t>
  </si>
  <si>
    <t>E033</t>
  </si>
  <si>
    <t>(주)이랜드 목동지점</t>
  </si>
  <si>
    <t>E034</t>
  </si>
  <si>
    <t>이랜드월드 시흥지점</t>
  </si>
  <si>
    <t>E059</t>
  </si>
  <si>
    <t>(주)이랜드월드 파주첼시점</t>
  </si>
  <si>
    <t>F100</t>
  </si>
  <si>
    <t>(주)이랜드월드</t>
  </si>
  <si>
    <t>W001</t>
  </si>
  <si>
    <t>(주)이랜드월드패션사업부</t>
  </si>
  <si>
    <t>W003</t>
  </si>
  <si>
    <t>(주)이랜드월드 에블린 명동점</t>
  </si>
  <si>
    <t>W004</t>
  </si>
  <si>
    <t>이랜드월드 로엠신촌</t>
  </si>
  <si>
    <t>W006</t>
  </si>
  <si>
    <t>(주)이랜드월드패션투미신촌</t>
  </si>
  <si>
    <t>W008</t>
  </si>
  <si>
    <t>(주)이랜드월드건대스타시티점</t>
  </si>
  <si>
    <t>W063</t>
  </si>
  <si>
    <t>헌트인너웨어건대점</t>
  </si>
  <si>
    <t>W065</t>
  </si>
  <si>
    <t>(주)이랜드월드 태창사업부</t>
  </si>
  <si>
    <t>W068</t>
  </si>
  <si>
    <t>(주)이랜드월드 부평지점</t>
  </si>
  <si>
    <t>W077</t>
  </si>
  <si>
    <t>(주)이랜드월드패션 티니위니 명동2점</t>
  </si>
  <si>
    <t>W100</t>
  </si>
  <si>
    <t>(주)이랜드월드 패션사업부 명동눈스퀘어</t>
  </si>
  <si>
    <t>W103</t>
  </si>
  <si>
    <t>(주)이랜드월드 영등포타임스퀘어점</t>
  </si>
  <si>
    <t>W130</t>
  </si>
  <si>
    <t>(주)이랜드월드패션 수원애경점</t>
  </si>
  <si>
    <t>W165</t>
  </si>
  <si>
    <t>(주)이랜드월드패션 미쏘청량리점</t>
  </si>
  <si>
    <t>W169</t>
  </si>
  <si>
    <t>(주)이랜드월드패션 부산서면점</t>
  </si>
  <si>
    <t>W181</t>
  </si>
  <si>
    <t>(주)이랜드월드 속초</t>
  </si>
  <si>
    <t>W182</t>
  </si>
  <si>
    <t>(주)이랜드월드 여의도</t>
  </si>
  <si>
    <t>W196</t>
  </si>
  <si>
    <t>(주)이랜드월드 패션 홍대2</t>
  </si>
  <si>
    <t>W202</t>
  </si>
  <si>
    <t>(주)이랜드월드 패션 대구동성로점</t>
  </si>
  <si>
    <t>W204</t>
  </si>
  <si>
    <t>(주)이랜드월드패션 김포스카이점</t>
  </si>
  <si>
    <t>W207</t>
  </si>
  <si>
    <t>(주)이랜드패션 강남점</t>
  </si>
  <si>
    <t>W209</t>
  </si>
  <si>
    <t>(주)이랜드월드 미쏘 명동점</t>
  </si>
  <si>
    <t>W212</t>
  </si>
  <si>
    <t>(주)이랜드월드패션 롯데수완아울렛</t>
  </si>
  <si>
    <t>W220</t>
  </si>
  <si>
    <t>(주)이랜드월드 폴더 명동점</t>
  </si>
  <si>
    <t>W222</t>
  </si>
  <si>
    <t>(주)이랜드월드 패션 성신여대유타몰점</t>
  </si>
  <si>
    <t>W227</t>
  </si>
  <si>
    <t>(주)이랜드월드 폴더 충장로점</t>
  </si>
  <si>
    <t>W228</t>
  </si>
  <si>
    <t>(주)이랜드월드 패션 동성로 3호점</t>
  </si>
  <si>
    <t>W229</t>
  </si>
  <si>
    <t>(주)이랜드월드 연수스퀘어점</t>
  </si>
  <si>
    <t>W232</t>
  </si>
  <si>
    <t>(주)이랜드월드 청주점</t>
  </si>
  <si>
    <t>W233</t>
  </si>
  <si>
    <t>(주)이랜드월드 롯데청주아울렛</t>
  </si>
  <si>
    <t>W238</t>
  </si>
  <si>
    <t>(주)이랜드월드 롯데서울역</t>
  </si>
  <si>
    <t>W241</t>
  </si>
  <si>
    <t>(주)이랜드월드 퍼스트빌리지점</t>
  </si>
  <si>
    <t>W242</t>
  </si>
  <si>
    <t>(주)이랜드월드패션 강남점</t>
  </si>
  <si>
    <t>W243</t>
  </si>
  <si>
    <t>(주)이랜드월드패션 롯데창원점</t>
  </si>
  <si>
    <t>W244</t>
  </si>
  <si>
    <t>(주)이랜드월드패션 롯데광복점</t>
  </si>
  <si>
    <t>W246</t>
  </si>
  <si>
    <t>(주)이랜드월드패션울산업스퀘어점</t>
  </si>
  <si>
    <t>W247</t>
  </si>
  <si>
    <t>(주)이랜드월드 미쏘 롯데캐슬점</t>
  </si>
  <si>
    <t>W250</t>
  </si>
  <si>
    <t>(주)이랜드월드 패션 원주점</t>
  </si>
  <si>
    <t>W253</t>
  </si>
  <si>
    <t>(주)이랜드월드패션 롯데동대문점</t>
  </si>
  <si>
    <t>W255</t>
  </si>
  <si>
    <t>이랜드월드패션포항점</t>
  </si>
  <si>
    <t>W258</t>
  </si>
  <si>
    <t>(주)이랜드월드 패션 김해내외점</t>
  </si>
  <si>
    <t>W260</t>
  </si>
  <si>
    <t>(주)이랜드월드 패션 기장첼시아울렛</t>
  </si>
  <si>
    <t>W263</t>
  </si>
  <si>
    <t>(주)이랜드월드패션강릉점</t>
  </si>
  <si>
    <t>W266</t>
  </si>
  <si>
    <t>(주)이랜드월드 패션 청주메가폴리스</t>
  </si>
  <si>
    <t>W268</t>
  </si>
  <si>
    <t>(주)이랜드월드 미쏘시크릿포항점</t>
  </si>
  <si>
    <t>W269</t>
  </si>
  <si>
    <t>(주)이랜드월드패션 롯데이천점</t>
  </si>
  <si>
    <t>W271</t>
  </si>
  <si>
    <t>(주)이랜드월드 패션 아산터미널점</t>
  </si>
  <si>
    <t>W275</t>
  </si>
  <si>
    <t>(주)이랜드월드 뉴발란스 홍대점</t>
  </si>
  <si>
    <t>W281</t>
  </si>
  <si>
    <t>(주)이랜드월드패션 부산아시아드홈플러스점</t>
  </si>
  <si>
    <t>W283</t>
  </si>
  <si>
    <t>(주)이랜드월드 패션 부평점</t>
  </si>
  <si>
    <t>W284</t>
  </si>
  <si>
    <t>(주)이랜드월드패션 명동점</t>
  </si>
  <si>
    <t>W285</t>
  </si>
  <si>
    <t>(주)이랜드월드 패션 의정부점</t>
  </si>
  <si>
    <t>W287</t>
  </si>
  <si>
    <t>(주)이랜드월드 패션 성서점</t>
  </si>
  <si>
    <t>W290</t>
  </si>
  <si>
    <t>(주)이랜드월드 패션 동성로점</t>
  </si>
  <si>
    <t>W291</t>
  </si>
  <si>
    <t>(주)이랜드월드패션 롯데수원점</t>
  </si>
  <si>
    <t>W300</t>
  </si>
  <si>
    <t>(주)이랜드월드패션 천안풍세점</t>
  </si>
  <si>
    <t>W301</t>
  </si>
  <si>
    <t>(주)이랜드월드패션 전주STS점</t>
  </si>
  <si>
    <t>W302</t>
  </si>
  <si>
    <t>(주)이랜드월드패션 패션 목포하당점</t>
  </si>
  <si>
    <t>W305</t>
  </si>
  <si>
    <t>(주)이랜드월드 패션 명동폴더2호점</t>
  </si>
  <si>
    <t>W312</t>
  </si>
  <si>
    <t>(주)이랜드월드 몰렛 경성대점</t>
  </si>
  <si>
    <t>W314</t>
  </si>
  <si>
    <t>(주)이랜드월드패션 김해아이스퀘어점</t>
  </si>
  <si>
    <t>W315</t>
  </si>
  <si>
    <t>폴더 대전둔산점</t>
  </si>
  <si>
    <t>W316</t>
  </si>
  <si>
    <t>(주)이랜드월드 제주점</t>
  </si>
  <si>
    <t>W319</t>
  </si>
  <si>
    <t>(주)이랜드월드 롯데몰 동부산점</t>
  </si>
  <si>
    <t>W320</t>
  </si>
  <si>
    <t>(주)이랜드월드 충장로점</t>
  </si>
  <si>
    <t>W321</t>
  </si>
  <si>
    <t>이랜드월드 신촌점</t>
  </si>
  <si>
    <t>W323</t>
  </si>
  <si>
    <t>이랜드월드 마산점</t>
  </si>
  <si>
    <t>W326</t>
  </si>
  <si>
    <t>(주)이랜드월드패션 진주정촌2점</t>
  </si>
  <si>
    <t>W330</t>
  </si>
  <si>
    <t>(주)이랜드월드 패션춘천 M백화점</t>
  </si>
  <si>
    <t>W331</t>
  </si>
  <si>
    <t>(주)이랜드월드 패션 포항</t>
  </si>
  <si>
    <t>W332</t>
  </si>
  <si>
    <t>(주)이랜드월드 패션 분당애플프라자</t>
  </si>
  <si>
    <t>W333</t>
  </si>
  <si>
    <t>(주)이랜드월드 패션오산점</t>
  </si>
  <si>
    <t>W336</t>
  </si>
  <si>
    <t>(주)이랜드월드 패션 수유점</t>
  </si>
  <si>
    <t>W338</t>
  </si>
  <si>
    <t>(주)이랜드월드 패션 건대 스타시티</t>
  </si>
  <si>
    <t>W341</t>
  </si>
  <si>
    <t>(주)이랜드월드 패션 홍대 3호점</t>
  </si>
  <si>
    <t>W344</t>
  </si>
  <si>
    <t>(주)이랜드월드 군산수송2점</t>
  </si>
  <si>
    <t>W345</t>
  </si>
  <si>
    <t>(주)이랜드월드패션 명동2호점</t>
  </si>
  <si>
    <t>W346</t>
  </si>
  <si>
    <t>(주)이랜드월드 광주상무점</t>
  </si>
  <si>
    <t>W347</t>
  </si>
  <si>
    <t>(주)이랜드월드 미아연이점</t>
  </si>
  <si>
    <t>W348</t>
  </si>
  <si>
    <t>(주)이랜드월드 패션 홍대</t>
  </si>
  <si>
    <t>W349</t>
  </si>
  <si>
    <t>(주)이랜드월드 패션 포항2호점</t>
  </si>
  <si>
    <t>W351</t>
  </si>
  <si>
    <t>(주)이랜드월드 강남점</t>
  </si>
  <si>
    <t>W352</t>
  </si>
  <si>
    <t>(주)이랜드월드 패션 일산원마운트</t>
  </si>
  <si>
    <t>W353</t>
  </si>
  <si>
    <t>(주)이랜드월드패션 제주 2호점(폴더)</t>
  </si>
  <si>
    <t>W354</t>
  </si>
  <si>
    <t>(주)이랜드월드 패션 가로수길</t>
  </si>
  <si>
    <t>W355</t>
  </si>
  <si>
    <t>(주)이랜드월드패션 코엑스</t>
  </si>
  <si>
    <t>W356</t>
  </si>
  <si>
    <t>(주)이랜드월드패션 동성로 5호점</t>
  </si>
  <si>
    <t>W359</t>
  </si>
  <si>
    <t>(주)이랜드월드 상봉점</t>
  </si>
  <si>
    <t>W361</t>
  </si>
  <si>
    <t>(주)이랜드월드패션 현대송도아울렛점</t>
  </si>
  <si>
    <t>W362</t>
  </si>
  <si>
    <t>(주)이랜드월드패션 포도몰점</t>
  </si>
  <si>
    <t>W363</t>
  </si>
  <si>
    <t>(주)이랜드월드 패션 키즈덤 하남점</t>
  </si>
  <si>
    <t>W366</t>
  </si>
  <si>
    <t>(주)이랜드월드 패션 롯데몰은평</t>
  </si>
  <si>
    <t>W367</t>
  </si>
  <si>
    <t>(주)이랜드월드패션울산신선도원몰(메가마트)</t>
  </si>
  <si>
    <t>W368</t>
  </si>
  <si>
    <t>(주)이랜드월드패션사업부 폴더구미</t>
  </si>
  <si>
    <t>W370</t>
  </si>
  <si>
    <t>(주)이랜드월드패션 의정부2호점</t>
  </si>
  <si>
    <t>W374</t>
  </si>
  <si>
    <t>(주)이랜드월드 아트로</t>
  </si>
  <si>
    <t>W376</t>
  </si>
  <si>
    <t>(주)이랜드월드패션 첼시시흥프리미엄아울렛</t>
  </si>
  <si>
    <t>W378</t>
  </si>
  <si>
    <t>(주)이랜드월드패션롯데아울렛 고양점</t>
  </si>
  <si>
    <t>W380</t>
  </si>
  <si>
    <t>(주)이랜드월드패션 스타필드 고양점</t>
  </si>
  <si>
    <t>W382</t>
  </si>
  <si>
    <t>(주)이랜드월드패션 롯데고양점</t>
  </si>
  <si>
    <t>W383</t>
  </si>
  <si>
    <t>(주)이랜드월드 미쏘 IFC몰점</t>
  </si>
  <si>
    <t>W384</t>
  </si>
  <si>
    <t>(주)이랜드월드 패션사업부 구미인동</t>
  </si>
  <si>
    <t>W385</t>
  </si>
  <si>
    <t>㈜이랜드월드패션 라붐아울렛점</t>
  </si>
  <si>
    <t>W388</t>
  </si>
  <si>
    <t>(주)이랜드월드패션 롯데 대전점</t>
  </si>
  <si>
    <t>W391</t>
  </si>
  <si>
    <t>(주)이랜드월드패션 신제주점</t>
  </si>
  <si>
    <t>W392</t>
  </si>
  <si>
    <t>(주)이랜드월드패션 패션아일랜드대전점</t>
  </si>
  <si>
    <t>W393</t>
  </si>
  <si>
    <t>(주)이랜드월드 홈플러스 광양점</t>
  </si>
  <si>
    <t>W394</t>
  </si>
  <si>
    <t>(주)이랜드월드 패션 홈플러스 중계</t>
  </si>
  <si>
    <t>W395</t>
  </si>
  <si>
    <t>(주)이랜드월드패션 제주칠성로점</t>
  </si>
  <si>
    <t>W398</t>
  </si>
  <si>
    <t>(주)이랜드월드패션 홈플러스 계산</t>
  </si>
  <si>
    <t>W399</t>
  </si>
  <si>
    <t>(주)이랜드월드패션 AK 홍대점</t>
  </si>
  <si>
    <t>W400</t>
  </si>
  <si>
    <t>(주)이랜드월드 두타몰점</t>
  </si>
  <si>
    <t>W401</t>
  </si>
  <si>
    <t>(주)이랜드월드패션제주중앙로</t>
  </si>
  <si>
    <t>W402</t>
  </si>
  <si>
    <t>(주)이랜드월드패션 현대김포</t>
  </si>
  <si>
    <t>W403</t>
  </si>
  <si>
    <t>(주)이랜드월드 동광주홈플러스점</t>
  </si>
  <si>
    <t>W404</t>
  </si>
  <si>
    <t>(주)이랜드월드패션 홈플러스 시흥</t>
  </si>
  <si>
    <t>W405</t>
  </si>
  <si>
    <t>㈜이랜드월드 폴더청주점</t>
  </si>
  <si>
    <t>W406</t>
  </si>
  <si>
    <t>(주)이랜드월드패션 홈플러스 청주점</t>
  </si>
  <si>
    <t>W407</t>
  </si>
  <si>
    <t>(주)이랜드월드 홈플러스 가야점</t>
  </si>
  <si>
    <t>W408</t>
  </si>
  <si>
    <t>(주)이랜드월드패션 용인블루키</t>
  </si>
  <si>
    <t>W409</t>
  </si>
  <si>
    <t>(주)이랜드월드패션 폴더광복2호점</t>
  </si>
  <si>
    <t>W410</t>
  </si>
  <si>
    <t>(주)이랜드월드패션 홈플러스 전주효자점</t>
  </si>
  <si>
    <t>W411</t>
  </si>
  <si>
    <t>(주)이랜드월드 청주지웰시티몰</t>
  </si>
  <si>
    <t>W412</t>
  </si>
  <si>
    <t>(주)이랜드월드패션 기흥 AK</t>
  </si>
  <si>
    <t>W413</t>
  </si>
  <si>
    <t>㈜이랜드월드패션 롯데기흥</t>
  </si>
  <si>
    <t>W416</t>
  </si>
  <si>
    <t>(주)이랜드 월드 패션 세종 AK</t>
  </si>
  <si>
    <t>W417</t>
  </si>
  <si>
    <t>㈜이랜드월드 폴더 충주점</t>
  </si>
  <si>
    <t>W418</t>
  </si>
  <si>
    <t>(주) 이랜드월드 홈플러스 대전문화점</t>
  </si>
  <si>
    <t>W419</t>
  </si>
  <si>
    <t>(주) 이랜드월드 패션사업부 폴더안산점</t>
  </si>
  <si>
    <t>W420</t>
  </si>
  <si>
    <t>(주)이랜드월드패션 홈플러스 부천상동점</t>
  </si>
  <si>
    <t>W421</t>
  </si>
  <si>
    <t>(주)이랜드월드 스파오 수원망포</t>
  </si>
  <si>
    <t>W422</t>
  </si>
  <si>
    <t>(주)이랜드월드 울산성남</t>
  </si>
  <si>
    <t>W423</t>
  </si>
  <si>
    <t>(주)이랜드월드 홈플러스 작전점</t>
  </si>
  <si>
    <t>W424</t>
  </si>
  <si>
    <t>(주)이랜드월드 홈플러스 김포풍무점</t>
  </si>
  <si>
    <t>W425</t>
  </si>
  <si>
    <t>(주)이랜드월드패션 홍대EXIT</t>
  </si>
  <si>
    <t>W426</t>
  </si>
  <si>
    <t>(주)이랜드월드 롯데몰 수지</t>
  </si>
  <si>
    <t>W427</t>
  </si>
  <si>
    <t>(주)이랜드월드 폴더 경주점</t>
  </si>
  <si>
    <t>W428</t>
  </si>
  <si>
    <t>(주)이랜드월드 패션 스타필드 부천</t>
  </si>
  <si>
    <t>W429</t>
  </si>
  <si>
    <t>(주)이랜드월드 동성로삼덕</t>
  </si>
  <si>
    <t>W430</t>
  </si>
  <si>
    <t>(주)이랜드월드패션 용인역북</t>
  </si>
  <si>
    <t>W431</t>
  </si>
  <si>
    <t>(주)이랜드월드 폴더 신촌점</t>
  </si>
  <si>
    <t>W432</t>
  </si>
  <si>
    <t>(주)이랜드월드 폴더 부천점</t>
  </si>
  <si>
    <t>W433</t>
  </si>
  <si>
    <t>(주)이랜드월드 홈플러스 강릉점</t>
  </si>
  <si>
    <t>W434</t>
  </si>
  <si>
    <t>(주)이랜드월드 아리아청주</t>
  </si>
  <si>
    <t>W435</t>
  </si>
  <si>
    <t>(주)이랜드월드 마크원 세종</t>
  </si>
  <si>
    <t>W436</t>
  </si>
  <si>
    <t>(주)이랜드월드 문화로구미</t>
  </si>
  <si>
    <t>W437</t>
  </si>
  <si>
    <t>(주)이랜드월드폴더 경성대점</t>
  </si>
  <si>
    <t>W438</t>
  </si>
  <si>
    <t>(주)이랜드월드 롯데관악점</t>
  </si>
  <si>
    <t>W439</t>
  </si>
  <si>
    <t>(주)이랜드월드패션 부산대역</t>
  </si>
  <si>
    <t>W440</t>
  </si>
  <si>
    <t>(주)이랜드월드패션 강릉포남점</t>
  </si>
  <si>
    <t>W441</t>
  </si>
  <si>
    <t>(주)이랜드월드 문화사업부</t>
  </si>
  <si>
    <t>W442</t>
  </si>
  <si>
    <t>(주)이랜드월드패션 메세나폴리스</t>
  </si>
  <si>
    <t>W443</t>
  </si>
  <si>
    <t>(주)이랜드월드 세이탄방</t>
  </si>
  <si>
    <t>W444</t>
  </si>
  <si>
    <t>(주)이랜드월드 안녕인사동</t>
  </si>
  <si>
    <t>W445</t>
  </si>
  <si>
    <t>(주)이랜드월드 동탄 레이크꼬모</t>
  </si>
  <si>
    <t>W446</t>
  </si>
  <si>
    <t>(주)이랜드월드 뉴발란스키즈 롯데부여점</t>
  </si>
  <si>
    <t>W447</t>
  </si>
  <si>
    <t>(주)이랜드월드 뉴발란스키즈 롯데파주점</t>
  </si>
  <si>
    <t>W448</t>
  </si>
  <si>
    <t>(주)이랜드월드 김포 페스티발스타</t>
  </si>
  <si>
    <t>W449</t>
  </si>
  <si>
    <t>W450</t>
  </si>
  <si>
    <t>(주)이랜드월드 롯데몰진주점</t>
  </si>
  <si>
    <t>W451</t>
  </si>
  <si>
    <t>(주)이랜드월드 롯데월드몰</t>
  </si>
  <si>
    <t>W452</t>
  </si>
  <si>
    <t>(주)이랜드월드 구리</t>
  </si>
  <si>
    <t>W453</t>
  </si>
  <si>
    <t>(주)이랜드월드 천안신부</t>
  </si>
  <si>
    <t>W454</t>
  </si>
  <si>
    <t>(주)이랜드월드 폴더 동춘175점</t>
  </si>
  <si>
    <t>W455</t>
  </si>
  <si>
    <t>(주)이랜드월드 스타필드 위례</t>
  </si>
  <si>
    <t>W456</t>
  </si>
  <si>
    <t>(주)이랜드월드패션LF스퀘어광양점</t>
  </si>
  <si>
    <t>W457</t>
  </si>
  <si>
    <t>㈜이랜드월드패션 현대대전</t>
  </si>
  <si>
    <t>W458</t>
  </si>
  <si>
    <t>㈜이랜드월드 AK 가로수길점</t>
  </si>
  <si>
    <t>W459</t>
  </si>
  <si>
    <t>㈜이랜드월드 폴더 전주객사점</t>
  </si>
  <si>
    <t>W460</t>
  </si>
  <si>
    <t>주식회사 이랜드월드(유럽BG아시아지사)</t>
  </si>
  <si>
    <t>W461</t>
  </si>
  <si>
    <t>(주)이랜드월드 충장로</t>
  </si>
  <si>
    <t>W462</t>
  </si>
  <si>
    <t>(주)이랜드월드 스타필드안성</t>
  </si>
  <si>
    <t>W463</t>
  </si>
  <si>
    <t>(주)이랜드월드 진주</t>
  </si>
  <si>
    <t>사업자등록번호</t>
  </si>
  <si>
    <t>2018527593</t>
  </si>
  <si>
    <t>5048535541</t>
  </si>
  <si>
    <t>2048523903</t>
  </si>
  <si>
    <t>2278510245</t>
  </si>
  <si>
    <t>1178521635</t>
  </si>
  <si>
    <t>1198534081</t>
  </si>
  <si>
    <t>1418512124</t>
  </si>
  <si>
    <t>1058144184</t>
  </si>
  <si>
    <t>1138519030</t>
  </si>
  <si>
    <t>2018515457</t>
  </si>
  <si>
    <t>1108518051</t>
  </si>
  <si>
    <t>1108517839</t>
  </si>
  <si>
    <t>2068522797</t>
  </si>
  <si>
    <t>2068518667</t>
  </si>
  <si>
    <t>1198517651</t>
  </si>
  <si>
    <t>1228527515</t>
  </si>
  <si>
    <t>2018521380</t>
  </si>
  <si>
    <t>2018523904</t>
  </si>
  <si>
    <t>1078539292</t>
  </si>
  <si>
    <t>1248567250</t>
  </si>
  <si>
    <t>2048522578</t>
  </si>
  <si>
    <t>6058537556</t>
  </si>
  <si>
    <t>2278502411</t>
  </si>
  <si>
    <t>1078527044</t>
  </si>
  <si>
    <t>1058532537</t>
  </si>
  <si>
    <t>5048536026</t>
  </si>
  <si>
    <t>1098537534</t>
  </si>
  <si>
    <t>2208536564</t>
  </si>
  <si>
    <t>2018528307</t>
  </si>
  <si>
    <t>4108541374</t>
  </si>
  <si>
    <t>2018528739</t>
  </si>
  <si>
    <t>2098520842</t>
  </si>
  <si>
    <t>4088528209</t>
  </si>
  <si>
    <t>5048537665</t>
  </si>
  <si>
    <t>1318546175</t>
  </si>
  <si>
    <t>3178512100</t>
  </si>
  <si>
    <t>3018541600</t>
  </si>
  <si>
    <t>1048526274</t>
  </si>
  <si>
    <t>3128557868</t>
  </si>
  <si>
    <t>2148550334</t>
  </si>
  <si>
    <t>6098540368</t>
  </si>
  <si>
    <t>6028520003</t>
  </si>
  <si>
    <t>6108545475</t>
  </si>
  <si>
    <t>2158544801</t>
  </si>
  <si>
    <t>2248525507</t>
  </si>
  <si>
    <t>2018536471</t>
  </si>
  <si>
    <t>5068526747</t>
  </si>
  <si>
    <t>6158531409</t>
  </si>
  <si>
    <t>6218535322</t>
  </si>
  <si>
    <t>2268531188</t>
  </si>
  <si>
    <t>3018543345</t>
  </si>
  <si>
    <t>5068527203</t>
  </si>
  <si>
    <t>1268557762</t>
  </si>
  <si>
    <t>3128562060</t>
  </si>
  <si>
    <t>1058538526</t>
  </si>
  <si>
    <t>6078538380</t>
  </si>
  <si>
    <t>1228553390</t>
  </si>
  <si>
    <t>2018539503</t>
  </si>
  <si>
    <t>1278561032</t>
  </si>
  <si>
    <t>5038531668</t>
  </si>
  <si>
    <t>5048541553</t>
  </si>
  <si>
    <t>1248582381</t>
  </si>
  <si>
    <t>3128564563</t>
  </si>
  <si>
    <t>4028533999</t>
  </si>
  <si>
    <t>4118520955</t>
  </si>
  <si>
    <t>2018539973</t>
  </si>
  <si>
    <t>6178546403</t>
  </si>
  <si>
    <t>6158534901</t>
  </si>
  <si>
    <t>3148553271</t>
  </si>
  <si>
    <t>6168535086</t>
  </si>
  <si>
    <t>6218540183</t>
  </si>
  <si>
    <t>4088531679</t>
  </si>
  <si>
    <t>1058541147</t>
  </si>
  <si>
    <t>6088536371</t>
  </si>
  <si>
    <t>6138523086</t>
  </si>
  <si>
    <t>8618500023</t>
  </si>
  <si>
    <t>6988500032</t>
  </si>
  <si>
    <t>4338500041</t>
  </si>
  <si>
    <t>6168535844</t>
  </si>
  <si>
    <t>7538500019</t>
  </si>
  <si>
    <t>4798500014</t>
  </si>
  <si>
    <t>3578500048</t>
  </si>
  <si>
    <t>1698500081</t>
  </si>
  <si>
    <t>5838500119</t>
  </si>
  <si>
    <t>7398500084</t>
  </si>
  <si>
    <t>2498500086</t>
  </si>
  <si>
    <t>6468500083</t>
  </si>
  <si>
    <t>6188511343</t>
  </si>
  <si>
    <t>5488500192</t>
  </si>
  <si>
    <t>4108551362</t>
  </si>
  <si>
    <t>4838500139</t>
  </si>
  <si>
    <t>6088536880</t>
  </si>
  <si>
    <t>4118521672</t>
  </si>
  <si>
    <t>7048500278</t>
  </si>
  <si>
    <t>3858500247</t>
  </si>
  <si>
    <t>3608500326</t>
  </si>
  <si>
    <t>3678500384</t>
  </si>
  <si>
    <t>2078554889</t>
  </si>
  <si>
    <t>3538500459</t>
  </si>
  <si>
    <t>8278500488</t>
  </si>
  <si>
    <t>3398500400</t>
  </si>
  <si>
    <t>2188504531</t>
  </si>
  <si>
    <t>6968500545</t>
  </si>
  <si>
    <t>6448500563</t>
  </si>
  <si>
    <t>3998500571</t>
  </si>
  <si>
    <t>1408525984</t>
  </si>
  <si>
    <t>3028508512</t>
  </si>
  <si>
    <t>4268500500</t>
  </si>
  <si>
    <t>2178523990</t>
  </si>
  <si>
    <t>7118500806</t>
  </si>
  <si>
    <t>4458500855</t>
  </si>
  <si>
    <t>4838500916</t>
  </si>
  <si>
    <t>1848500756</t>
  </si>
  <si>
    <t>8838500794</t>
  </si>
  <si>
    <t>2068544243</t>
  </si>
  <si>
    <t>8448500810</t>
  </si>
  <si>
    <t>3998500872</t>
  </si>
  <si>
    <t>8548500947</t>
  </si>
  <si>
    <t>3818500982</t>
  </si>
  <si>
    <t>8888501070</t>
  </si>
  <si>
    <t>7418500826</t>
  </si>
  <si>
    <t>3568500841</t>
  </si>
  <si>
    <t>3418500913</t>
  </si>
  <si>
    <t>7188500942</t>
  </si>
  <si>
    <t>4118522458</t>
  </si>
  <si>
    <t>5358500992</t>
  </si>
  <si>
    <t>2928500926</t>
  </si>
  <si>
    <t>2918501072</t>
  </si>
  <si>
    <t>4328500844</t>
  </si>
  <si>
    <t>7768500953</t>
  </si>
  <si>
    <t>5128507181</t>
  </si>
  <si>
    <t>7488500846</t>
  </si>
  <si>
    <t>3348500929</t>
  </si>
  <si>
    <t>3418500984</t>
  </si>
  <si>
    <t>2038535371</t>
  </si>
  <si>
    <t>6428501149</t>
  </si>
  <si>
    <t>1078556063</t>
  </si>
  <si>
    <t>5618501307</t>
  </si>
  <si>
    <t>4488501154</t>
  </si>
  <si>
    <t>8188501071</t>
  </si>
  <si>
    <t>6498501005</t>
  </si>
  <si>
    <t>2468501198</t>
  </si>
  <si>
    <t>6418501108</t>
  </si>
  <si>
    <t>4398501179</t>
  </si>
  <si>
    <t>3058544405</t>
  </si>
  <si>
    <t>3038529897</t>
  </si>
  <si>
    <t>4748501264</t>
  </si>
  <si>
    <t>5228501243</t>
  </si>
  <si>
    <t>5298501185</t>
  </si>
  <si>
    <t>8108501285</t>
  </si>
  <si>
    <t>5798501157</t>
  </si>
  <si>
    <t>7188501276</t>
  </si>
  <si>
    <t>6698501523</t>
  </si>
  <si>
    <t>7158501132</t>
  </si>
  <si>
    <t>5298501230</t>
  </si>
  <si>
    <t>6598501093</t>
  </si>
  <si>
    <t>1998501422</t>
  </si>
  <si>
    <t>2268533264</t>
  </si>
  <si>
    <t>6388501311</t>
  </si>
  <si>
    <t>3548501261</t>
  </si>
  <si>
    <t>2718501419</t>
  </si>
  <si>
    <t>1788501293</t>
  </si>
  <si>
    <t>5308501531</t>
  </si>
  <si>
    <t>1798501355</t>
  </si>
  <si>
    <t>8248501396</t>
  </si>
  <si>
    <t>5708501562</t>
  </si>
  <si>
    <t>1258549459</t>
  </si>
  <si>
    <t>5908501265</t>
  </si>
  <si>
    <t>2568501161</t>
  </si>
  <si>
    <t>6048513207</t>
  </si>
  <si>
    <t>3928501389</t>
  </si>
  <si>
    <t>2028505457</t>
  </si>
  <si>
    <t>6928501523</t>
  </si>
  <si>
    <t>2228513738</t>
  </si>
  <si>
    <t>7108501646</t>
  </si>
  <si>
    <t>7538501401</t>
  </si>
  <si>
    <t>3758501502</t>
  </si>
  <si>
    <t>4488501514</t>
  </si>
  <si>
    <t>1748501608</t>
  </si>
  <si>
    <t>2158548957</t>
  </si>
  <si>
    <t>앞</t>
    <phoneticPr fontId="3" type="noConversion"/>
  </si>
  <si>
    <t>중간</t>
    <phoneticPr fontId="3" type="noConversion"/>
  </si>
  <si>
    <t>세액</t>
    <phoneticPr fontId="3" type="noConversion"/>
  </si>
  <si>
    <t>계산서</t>
    <phoneticPr fontId="3" type="noConversion"/>
  </si>
  <si>
    <t>공급가액</t>
    <phoneticPr fontId="3" type="noConversion"/>
  </si>
  <si>
    <t>공급가액2</t>
    <phoneticPr fontId="3" type="noConversion"/>
  </si>
  <si>
    <t>SAP 금액</t>
    <phoneticPr fontId="3" type="noConversion"/>
  </si>
  <si>
    <t>국세청 금액</t>
    <phoneticPr fontId="3" type="noConversion"/>
  </si>
  <si>
    <t>차이 금액</t>
    <phoneticPr fontId="3" type="noConversion"/>
  </si>
  <si>
    <t>사업장</t>
    <phoneticPr fontId="3" type="noConversion"/>
  </si>
  <si>
    <t>공급가액</t>
    <phoneticPr fontId="3" type="noConversion"/>
  </si>
  <si>
    <t>세금계산서</t>
    <phoneticPr fontId="3" type="noConversion"/>
  </si>
  <si>
    <t>뒤</t>
    <phoneticPr fontId="3" type="noConversion"/>
  </si>
  <si>
    <t>공급가액</t>
    <phoneticPr fontId="3" type="noConversion"/>
  </si>
  <si>
    <t>세액</t>
    <phoneticPr fontId="3" type="noConversion"/>
  </si>
  <si>
    <t>계산서</t>
    <phoneticPr fontId="3" type="noConversion"/>
  </si>
  <si>
    <t>공급가액1</t>
    <phoneticPr fontId="3" type="noConversion"/>
  </si>
  <si>
    <t>세액1</t>
    <phoneticPr fontId="3" type="noConversion"/>
  </si>
  <si>
    <t>계산서1</t>
    <phoneticPr fontId="3" type="noConversion"/>
  </si>
  <si>
    <t>세액2</t>
    <phoneticPr fontId="3" type="noConversion"/>
  </si>
  <si>
    <t>계산서2</t>
    <phoneticPr fontId="3" type="noConversion"/>
  </si>
  <si>
    <t>세금계산서 수기업로드 진행여부</t>
    <phoneticPr fontId="3" type="noConversion"/>
  </si>
  <si>
    <t>계산서 수기업로드 진행여부</t>
    <phoneticPr fontId="3" type="noConversion"/>
  </si>
  <si>
    <t>공급가액</t>
  </si>
  <si>
    <t>세액</t>
  </si>
  <si>
    <t>계산서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</si>
</sst>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Arial"/>
      <family val="2"/>
    </font>
    <font>
      <sz val="10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 applyAlignment="1"/>
    <xf numFmtId="0" fontId="0" fillId="0" borderId="0" xfId="0" applyAlignment="1">
      <alignment horizontal="center" vertical="center"/>
    </xf>
    <xf numFmtId="0" fontId="2" fillId="2" borderId="0" xfId="0" applyFont="1" applyFill="1">
      <alignment vertical="center"/>
    </xf>
    <xf numFmtId="0" fontId="0" fillId="0" borderId="1" xfId="0" applyBorder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>
      <alignment vertical="center"/>
    </xf>
    <xf numFmtId="176" fontId="0" fillId="0" borderId="0" xfId="1" applyFont="1">
      <alignment vertical="center"/>
    </xf>
    <xf numFmtId="0" fontId="7" fillId="2" borderId="0" xfId="0" applyFont="1" applyFill="1" applyAlignment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76" fontId="8" fillId="2" borderId="3" xfId="1" applyFont="1" applyFill="1" applyBorder="1" applyAlignment="1">
      <alignment horizontal="center"/>
    </xf>
    <xf numFmtId="0" fontId="4" fillId="0" borderId="1" xfId="0" applyFont="1" applyBorder="1" applyAlignment="1"/>
    <xf numFmtId="176" fontId="0" fillId="0" borderId="1" xfId="1" applyFont="1" applyBorder="1">
      <alignment vertical="center"/>
    </xf>
    <xf numFmtId="176" fontId="0" fillId="0" borderId="1" xfId="0" applyNumberFormat="1" applyBorder="1">
      <alignment vertical="center"/>
    </xf>
    <xf numFmtId="176" fontId="2" fillId="2" borderId="0" xfId="1" applyFont="1" applyFill="1">
      <alignment vertical="center"/>
    </xf>
    <xf numFmtId="3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3:I183"/>
  <sheetViews>
    <sheetView tabSelected="1" topLeftCell="B119" workbookViewId="0">
      <selection activeCell="E182" sqref="E12:E182"/>
    </sheetView>
  </sheetViews>
  <sheetFormatPr defaultRowHeight="17.399999999999999" x14ac:dyDescent="0.4"/>
  <cols>
    <col min="2" max="2" width="6.796875" bestFit="1" customWidth="1"/>
    <col min="3" max="3" width="40" bestFit="1" customWidth="1"/>
    <col min="4" max="4" width="14.3984375" bestFit="1" customWidth="1"/>
    <col min="5" max="5" width="16.5" style="10" bestFit="1" customWidth="1"/>
    <col min="6" max="6" width="15.3984375" style="10" bestFit="1" customWidth="1"/>
    <col min="7" max="7" width="14.3984375" style="10" bestFit="1" customWidth="1"/>
    <col min="8" max="8" width="29.3984375" bestFit="1" customWidth="1"/>
    <col min="9" max="9" width="25.3984375" bestFit="1" customWidth="1"/>
  </cols>
  <sheetData>
    <row r="3" spans="2:9" x14ac:dyDescent="0.4">
      <c r="B3" s="3" t="str">
        <f>사업장!B4</f>
        <v>사업장</v>
      </c>
      <c r="C3" s="3" t="str">
        <f>사업장!C4</f>
        <v>사업장명</v>
      </c>
      <c r="D3" s="3" t="str">
        <f>사업장!D4</f>
        <v>사업자등록번호</v>
      </c>
      <c r="E3" s="18" t="str">
        <f>사업장!N4</f>
        <v>공급가액2</v>
      </c>
      <c r="F3" s="18" t="str">
        <f>사업장!O4</f>
        <v>세액2</v>
      </c>
      <c r="G3" s="18" t="str">
        <f>사업장!P4</f>
        <v>계산서2</v>
      </c>
      <c r="H3" s="3" t="str">
        <f>사업장!Q4</f>
        <v>세금계산서 수기업로드 진행여부</v>
      </c>
      <c r="I3" s="3" t="str">
        <f>사업장!R4</f>
        <v>계산서 수기업로드 진행여부</v>
      </c>
    </row>
    <row r="4" spans="2:9" hidden="1" x14ac:dyDescent="0.4">
      <c r="B4" s="4" t="str">
        <f>사업장!B3</f>
        <v>F100</v>
      </c>
      <c r="C4" s="4" t="str">
        <f>사업장!C3</f>
        <v>(주)이랜드월드</v>
      </c>
      <c r="D4" s="4" t="str">
        <f>사업장!D3</f>
        <v>1058144184</v>
      </c>
      <c r="E4" s="16">
        <f>사업장!N3</f>
        <v>0</v>
      </c>
      <c r="F4" s="16">
        <f>사업장!O3</f>
        <v>0</v>
      </c>
      <c r="G4" s="16">
        <f>사업장!P3</f>
        <v>0</v>
      </c>
      <c r="H4" s="4" t="b">
        <f>사업장!Q3</f>
        <v>0</v>
      </c>
      <c r="I4" s="4" t="b">
        <f>사업장!R3</f>
        <v>0</v>
      </c>
    </row>
    <row r="5" spans="2:9" hidden="1" x14ac:dyDescent="0.4">
      <c r="B5" s="4" t="str">
        <f>사업장!B5</f>
        <v>E006</v>
      </c>
      <c r="C5" s="4" t="str">
        <f>사업장!C5</f>
        <v>후아유 명동점</v>
      </c>
      <c r="D5" s="4" t="str">
        <f>사업장!D5</f>
        <v>2018527593</v>
      </c>
      <c r="E5" s="16">
        <f>사업장!N5</f>
        <v>0</v>
      </c>
      <c r="F5" s="16">
        <f>사업장!O5</f>
        <v>0</v>
      </c>
      <c r="G5" s="16">
        <f>사업장!P5</f>
        <v>0</v>
      </c>
      <c r="H5" s="4" t="b">
        <f>사업장!Q5</f>
        <v>0</v>
      </c>
      <c r="I5" s="4" t="b">
        <f>사업장!R5</f>
        <v>0</v>
      </c>
    </row>
    <row r="6" spans="2:9" hidden="1" x14ac:dyDescent="0.4">
      <c r="B6" s="4" t="str">
        <f>사업장!B6</f>
        <v>E026</v>
      </c>
      <c r="C6" s="4" t="str">
        <f>사업장!C6</f>
        <v>스파오 동성로중앙</v>
      </c>
      <c r="D6" s="4" t="str">
        <f>사업장!D6</f>
        <v>5048535541</v>
      </c>
      <c r="E6" s="16">
        <f>사업장!N6</f>
        <v>0</v>
      </c>
      <c r="F6" s="16">
        <f>사업장!O6</f>
        <v>0</v>
      </c>
      <c r="G6" s="16">
        <f>사업장!P6</f>
        <v>0</v>
      </c>
      <c r="H6" s="4" t="b">
        <f>사업장!Q6</f>
        <v>0</v>
      </c>
      <c r="I6" s="4" t="b">
        <f>사업장!R6</f>
        <v>0</v>
      </c>
    </row>
    <row r="7" spans="2:9" hidden="1" x14ac:dyDescent="0.4">
      <c r="B7" s="4" t="str">
        <f>사업장!B7</f>
        <v>E031</v>
      </c>
      <c r="C7" s="4" t="str">
        <f>사업장!C7</f>
        <v>이랜드 답십리점</v>
      </c>
      <c r="D7" s="4" t="str">
        <f>사업장!D7</f>
        <v>2048523903</v>
      </c>
      <c r="E7" s="16">
        <f>사업장!N7</f>
        <v>0</v>
      </c>
      <c r="F7" s="16">
        <f>사업장!O7</f>
        <v>0</v>
      </c>
      <c r="G7" s="16">
        <f>사업장!P7</f>
        <v>0</v>
      </c>
      <c r="H7" s="4" t="b">
        <f>사업장!Q7</f>
        <v>0</v>
      </c>
      <c r="I7" s="4" t="b">
        <f>사업장!R7</f>
        <v>0</v>
      </c>
    </row>
    <row r="8" spans="2:9" hidden="1" x14ac:dyDescent="0.4">
      <c r="B8" s="4" t="str">
        <f>사업장!B8</f>
        <v>E032</v>
      </c>
      <c r="C8" s="4" t="str">
        <f>사업장!C8</f>
        <v>이랜드월드 속초지점</v>
      </c>
      <c r="D8" s="4" t="str">
        <f>사업장!D8</f>
        <v>2278510245</v>
      </c>
      <c r="E8" s="16">
        <f>사업장!N8</f>
        <v>0</v>
      </c>
      <c r="F8" s="16">
        <f>사업장!O8</f>
        <v>0</v>
      </c>
      <c r="G8" s="16">
        <f>사업장!P8</f>
        <v>0</v>
      </c>
      <c r="H8" s="4" t="b">
        <f>사업장!Q8</f>
        <v>0</v>
      </c>
      <c r="I8" s="4" t="b">
        <f>사업장!R8</f>
        <v>0</v>
      </c>
    </row>
    <row r="9" spans="2:9" hidden="1" x14ac:dyDescent="0.4">
      <c r="B9" s="4" t="str">
        <f>사업장!B9</f>
        <v>E033</v>
      </c>
      <c r="C9" s="4" t="str">
        <f>사업장!C9</f>
        <v>(주)이랜드 목동지점</v>
      </c>
      <c r="D9" s="4" t="str">
        <f>사업장!D9</f>
        <v>1178521635</v>
      </c>
      <c r="E9" s="16">
        <f>사업장!N9</f>
        <v>0</v>
      </c>
      <c r="F9" s="16">
        <f>사업장!O9</f>
        <v>0</v>
      </c>
      <c r="G9" s="16">
        <f>사업장!P9</f>
        <v>0</v>
      </c>
      <c r="H9" s="4" t="b">
        <f>사업장!Q9</f>
        <v>0</v>
      </c>
      <c r="I9" s="4" t="b">
        <f>사업장!R9</f>
        <v>0</v>
      </c>
    </row>
    <row r="10" spans="2:9" hidden="1" x14ac:dyDescent="0.4">
      <c r="B10" s="4" t="str">
        <f>사업장!B10</f>
        <v>E034</v>
      </c>
      <c r="C10" s="4" t="str">
        <f>사업장!C10</f>
        <v>이랜드월드 시흥지점</v>
      </c>
      <c r="D10" s="4" t="str">
        <f>사업장!D10</f>
        <v>1198534081</v>
      </c>
      <c r="E10" s="16">
        <f>사업장!N10</f>
        <v>0</v>
      </c>
      <c r="F10" s="16">
        <f>사업장!O10</f>
        <v>0</v>
      </c>
      <c r="G10" s="16">
        <f>사업장!P10</f>
        <v>0</v>
      </c>
      <c r="H10" s="4" t="b">
        <f>사업장!Q10</f>
        <v>0</v>
      </c>
      <c r="I10" s="4" t="b">
        <f>사업장!R10</f>
        <v>0</v>
      </c>
    </row>
    <row r="11" spans="2:9" hidden="1" x14ac:dyDescent="0.4">
      <c r="B11" s="4" t="str">
        <f>사업장!B11</f>
        <v>E059</v>
      </c>
      <c r="C11" s="4" t="str">
        <f>사업장!C11</f>
        <v>(주)이랜드월드 파주첼시점</v>
      </c>
      <c r="D11" s="4" t="str">
        <f>사업장!D11</f>
        <v>1418512124</v>
      </c>
      <c r="E11" s="16">
        <f>사업장!N11</f>
        <v>0</v>
      </c>
      <c r="F11" s="16">
        <f>사업장!O11</f>
        <v>0</v>
      </c>
      <c r="G11" s="16">
        <f>사업장!P11</f>
        <v>0</v>
      </c>
      <c r="H11" s="4" t="b">
        <f>사업장!Q11</f>
        <v>0</v>
      </c>
      <c r="I11" s="4" t="b">
        <f>사업장!R11</f>
        <v>0</v>
      </c>
    </row>
    <row r="12" spans="2:9" x14ac:dyDescent="0.4">
      <c r="B12" s="4" t="str">
        <f>사업장!B12</f>
        <v>W001</v>
      </c>
      <c r="C12" s="4" t="str">
        <f>사업장!C12</f>
        <v>(주)이랜드월드패션사업부</v>
      </c>
      <c r="D12" s="4" t="str">
        <f>사업장!D12</f>
        <v>1138519030</v>
      </c>
      <c r="E12" s="16">
        <f>사업장!N12</f>
        <v>14803497</v>
      </c>
      <c r="F12" s="16">
        <f>사업장!O12</f>
        <v>1480351</v>
      </c>
      <c r="G12" s="16">
        <f>사업장!P12</f>
        <v>0</v>
      </c>
      <c r="H12" s="4" t="b">
        <f>사업장!Q12</f>
        <v>1</v>
      </c>
      <c r="I12" s="4" t="b">
        <f>사업장!R12</f>
        <v>0</v>
      </c>
    </row>
    <row r="13" spans="2:9" hidden="1" x14ac:dyDescent="0.4">
      <c r="B13" s="4" t="str">
        <f>사업장!B13</f>
        <v>W003</v>
      </c>
      <c r="C13" s="4" t="str">
        <f>사업장!C13</f>
        <v>(주)이랜드월드 에블린 명동점</v>
      </c>
      <c r="D13" s="4" t="str">
        <f>사업장!D13</f>
        <v>2018515457</v>
      </c>
      <c r="E13" s="16">
        <f>사업장!N13</f>
        <v>0</v>
      </c>
      <c r="F13" s="16">
        <f>사업장!O13</f>
        <v>0</v>
      </c>
      <c r="G13" s="16">
        <f>사업장!P13</f>
        <v>0</v>
      </c>
      <c r="H13" s="4" t="b">
        <f>사업장!Q13</f>
        <v>0</v>
      </c>
      <c r="I13" s="4" t="b">
        <f>사업장!R13</f>
        <v>0</v>
      </c>
    </row>
    <row r="14" spans="2:9" hidden="1" x14ac:dyDescent="0.4">
      <c r="B14" s="4" t="str">
        <f>사업장!B14</f>
        <v>W004</v>
      </c>
      <c r="C14" s="4" t="str">
        <f>사업장!C14</f>
        <v>이랜드월드 로엠신촌</v>
      </c>
      <c r="D14" s="4" t="str">
        <f>사업장!D14</f>
        <v>1108518051</v>
      </c>
      <c r="E14" s="16">
        <f>사업장!N14</f>
        <v>0</v>
      </c>
      <c r="F14" s="16">
        <f>사업장!O14</f>
        <v>0</v>
      </c>
      <c r="G14" s="16">
        <f>사업장!P14</f>
        <v>0</v>
      </c>
      <c r="H14" s="4" t="b">
        <f>사업장!Q14</f>
        <v>0</v>
      </c>
      <c r="I14" s="4" t="b">
        <f>사업장!R14</f>
        <v>0</v>
      </c>
    </row>
    <row r="15" spans="2:9" hidden="1" x14ac:dyDescent="0.4">
      <c r="B15" s="4" t="str">
        <f>사업장!B15</f>
        <v>W006</v>
      </c>
      <c r="C15" s="4" t="str">
        <f>사업장!C15</f>
        <v>(주)이랜드월드패션투미신촌</v>
      </c>
      <c r="D15" s="4" t="str">
        <f>사업장!D15</f>
        <v>1108517839</v>
      </c>
      <c r="E15" s="16">
        <f>사업장!N15</f>
        <v>0</v>
      </c>
      <c r="F15" s="16">
        <f>사업장!O15</f>
        <v>0</v>
      </c>
      <c r="G15" s="16">
        <f>사업장!P15</f>
        <v>0</v>
      </c>
      <c r="H15" s="4" t="b">
        <f>사업장!Q15</f>
        <v>0</v>
      </c>
      <c r="I15" s="4" t="b">
        <f>사업장!R15</f>
        <v>0</v>
      </c>
    </row>
    <row r="16" spans="2:9" hidden="1" x14ac:dyDescent="0.4">
      <c r="B16" s="4" t="str">
        <f>사업장!B16</f>
        <v>W008</v>
      </c>
      <c r="C16" s="4" t="str">
        <f>사업장!C16</f>
        <v>(주)이랜드월드건대스타시티점</v>
      </c>
      <c r="D16" s="4" t="str">
        <f>사업장!D16</f>
        <v>2068522797</v>
      </c>
      <c r="E16" s="16">
        <f>사업장!N16</f>
        <v>0</v>
      </c>
      <c r="F16" s="16">
        <f>사업장!O16</f>
        <v>0</v>
      </c>
      <c r="G16" s="16">
        <f>사업장!P16</f>
        <v>0</v>
      </c>
      <c r="H16" s="4" t="b">
        <f>사업장!Q16</f>
        <v>0</v>
      </c>
      <c r="I16" s="4" t="b">
        <f>사업장!R16</f>
        <v>0</v>
      </c>
    </row>
    <row r="17" spans="2:9" hidden="1" x14ac:dyDescent="0.4">
      <c r="B17" s="4" t="str">
        <f>사업장!B17</f>
        <v>W063</v>
      </c>
      <c r="C17" s="4" t="str">
        <f>사업장!C17</f>
        <v>헌트인너웨어건대점</v>
      </c>
      <c r="D17" s="4" t="str">
        <f>사업장!D17</f>
        <v>2068518667</v>
      </c>
      <c r="E17" s="16">
        <f>사업장!N17</f>
        <v>0</v>
      </c>
      <c r="F17" s="16">
        <f>사업장!O17</f>
        <v>0</v>
      </c>
      <c r="G17" s="16">
        <f>사업장!P17</f>
        <v>0</v>
      </c>
      <c r="H17" s="4" t="b">
        <f>사업장!Q17</f>
        <v>0</v>
      </c>
      <c r="I17" s="4" t="b">
        <f>사업장!R17</f>
        <v>0</v>
      </c>
    </row>
    <row r="18" spans="2:9" hidden="1" x14ac:dyDescent="0.4">
      <c r="B18" s="4" t="str">
        <f>사업장!B18</f>
        <v>W065</v>
      </c>
      <c r="C18" s="4" t="str">
        <f>사업장!C18</f>
        <v>(주)이랜드월드 태창사업부</v>
      </c>
      <c r="D18" s="4" t="str">
        <f>사업장!D18</f>
        <v>1198517651</v>
      </c>
      <c r="E18" s="16">
        <f>사업장!N18</f>
        <v>0</v>
      </c>
      <c r="F18" s="16">
        <f>사업장!O18</f>
        <v>0</v>
      </c>
      <c r="G18" s="16">
        <f>사업장!P18</f>
        <v>0</v>
      </c>
      <c r="H18" s="4" t="b">
        <f>사업장!Q18</f>
        <v>0</v>
      </c>
      <c r="I18" s="4" t="b">
        <f>사업장!R18</f>
        <v>0</v>
      </c>
    </row>
    <row r="19" spans="2:9" hidden="1" x14ac:dyDescent="0.4">
      <c r="B19" s="4" t="str">
        <f>사업장!B19</f>
        <v>W068</v>
      </c>
      <c r="C19" s="4" t="str">
        <f>사업장!C19</f>
        <v>(주)이랜드월드 부평지점</v>
      </c>
      <c r="D19" s="4" t="str">
        <f>사업장!D19</f>
        <v>1228527515</v>
      </c>
      <c r="E19" s="16">
        <f>사업장!N19</f>
        <v>0</v>
      </c>
      <c r="F19" s="16">
        <f>사업장!O19</f>
        <v>0</v>
      </c>
      <c r="G19" s="16">
        <f>사업장!P19</f>
        <v>0</v>
      </c>
      <c r="H19" s="4" t="b">
        <f>사업장!Q19</f>
        <v>0</v>
      </c>
      <c r="I19" s="4" t="b">
        <f>사업장!R19</f>
        <v>0</v>
      </c>
    </row>
    <row r="20" spans="2:9" hidden="1" x14ac:dyDescent="0.4">
      <c r="B20" s="4" t="str">
        <f>사업장!B20</f>
        <v>W077</v>
      </c>
      <c r="C20" s="4" t="str">
        <f>사업장!C20</f>
        <v>(주)이랜드월드패션 티니위니 명동2점</v>
      </c>
      <c r="D20" s="4" t="str">
        <f>사업장!D20</f>
        <v>2018521380</v>
      </c>
      <c r="E20" s="16">
        <f>사업장!N20</f>
        <v>0</v>
      </c>
      <c r="F20" s="16">
        <f>사업장!O20</f>
        <v>0</v>
      </c>
      <c r="G20" s="16">
        <f>사업장!P20</f>
        <v>0</v>
      </c>
      <c r="H20" s="4" t="b">
        <f>사업장!Q20</f>
        <v>0</v>
      </c>
      <c r="I20" s="4" t="b">
        <f>사업장!R20</f>
        <v>0</v>
      </c>
    </row>
    <row r="21" spans="2:9" hidden="1" x14ac:dyDescent="0.4">
      <c r="B21" s="4" t="str">
        <f>사업장!B21</f>
        <v>W100</v>
      </c>
      <c r="C21" s="4" t="str">
        <f>사업장!C21</f>
        <v>(주)이랜드월드 패션사업부 명동눈스퀘어</v>
      </c>
      <c r="D21" s="4" t="str">
        <f>사업장!D21</f>
        <v>2018523904</v>
      </c>
      <c r="E21" s="16">
        <f>사업장!N21</f>
        <v>0</v>
      </c>
      <c r="F21" s="16">
        <f>사업장!O21</f>
        <v>0</v>
      </c>
      <c r="G21" s="16">
        <f>사업장!P21</f>
        <v>0</v>
      </c>
      <c r="H21" s="4" t="b">
        <f>사업장!Q21</f>
        <v>0</v>
      </c>
      <c r="I21" s="4" t="b">
        <f>사업장!R21</f>
        <v>0</v>
      </c>
    </row>
    <row r="22" spans="2:9" hidden="1" x14ac:dyDescent="0.4">
      <c r="B22" s="4" t="str">
        <f>사업장!B22</f>
        <v>W103</v>
      </c>
      <c r="C22" s="4" t="str">
        <f>사업장!C22</f>
        <v>(주)이랜드월드 영등포타임스퀘어점</v>
      </c>
      <c r="D22" s="4" t="str">
        <f>사업장!D22</f>
        <v>1078539292</v>
      </c>
      <c r="E22" s="16">
        <f>사업장!N22</f>
        <v>0</v>
      </c>
      <c r="F22" s="16">
        <f>사업장!O22</f>
        <v>0</v>
      </c>
      <c r="G22" s="16">
        <f>사업장!P22</f>
        <v>0</v>
      </c>
      <c r="H22" s="4" t="b">
        <f>사업장!Q22</f>
        <v>0</v>
      </c>
      <c r="I22" s="4" t="b">
        <f>사업장!R22</f>
        <v>0</v>
      </c>
    </row>
    <row r="23" spans="2:9" hidden="1" x14ac:dyDescent="0.4">
      <c r="B23" s="4" t="str">
        <f>사업장!B23</f>
        <v>W130</v>
      </c>
      <c r="C23" s="4" t="str">
        <f>사업장!C23</f>
        <v>(주)이랜드월드패션 수원애경점</v>
      </c>
      <c r="D23" s="4" t="str">
        <f>사업장!D23</f>
        <v>1248567250</v>
      </c>
      <c r="E23" s="16">
        <f>사업장!N23</f>
        <v>0</v>
      </c>
      <c r="F23" s="16">
        <f>사업장!O23</f>
        <v>0</v>
      </c>
      <c r="G23" s="16">
        <f>사업장!P23</f>
        <v>0</v>
      </c>
      <c r="H23" s="4" t="b">
        <f>사업장!Q23</f>
        <v>0</v>
      </c>
      <c r="I23" s="4" t="b">
        <f>사업장!R23</f>
        <v>0</v>
      </c>
    </row>
    <row r="24" spans="2:9" hidden="1" x14ac:dyDescent="0.4">
      <c r="B24" s="4" t="str">
        <f>사업장!B24</f>
        <v>W165</v>
      </c>
      <c r="C24" s="4" t="str">
        <f>사업장!C24</f>
        <v>(주)이랜드월드패션 미쏘청량리점</v>
      </c>
      <c r="D24" s="4" t="str">
        <f>사업장!D24</f>
        <v>2048522578</v>
      </c>
      <c r="E24" s="16">
        <f>사업장!N24</f>
        <v>0</v>
      </c>
      <c r="F24" s="16">
        <f>사업장!O24</f>
        <v>0</v>
      </c>
      <c r="G24" s="16">
        <f>사업장!P24</f>
        <v>0</v>
      </c>
      <c r="H24" s="4" t="b">
        <f>사업장!Q24</f>
        <v>0</v>
      </c>
      <c r="I24" s="4" t="b">
        <f>사업장!R24</f>
        <v>0</v>
      </c>
    </row>
    <row r="25" spans="2:9" hidden="1" x14ac:dyDescent="0.4">
      <c r="B25" s="4" t="str">
        <f>사업장!B25</f>
        <v>W169</v>
      </c>
      <c r="C25" s="4" t="str">
        <f>사업장!C25</f>
        <v>(주)이랜드월드패션 부산서면점</v>
      </c>
      <c r="D25" s="4" t="str">
        <f>사업장!D25</f>
        <v>6058537556</v>
      </c>
      <c r="E25" s="16">
        <f>사업장!N25</f>
        <v>0</v>
      </c>
      <c r="F25" s="16">
        <f>사업장!O25</f>
        <v>0</v>
      </c>
      <c r="G25" s="16">
        <f>사업장!P25</f>
        <v>0</v>
      </c>
      <c r="H25" s="4" t="b">
        <f>사업장!Q25</f>
        <v>0</v>
      </c>
      <c r="I25" s="4" t="b">
        <f>사업장!R25</f>
        <v>0</v>
      </c>
    </row>
    <row r="26" spans="2:9" hidden="1" x14ac:dyDescent="0.4">
      <c r="B26" s="4" t="str">
        <f>사업장!B26</f>
        <v>W181</v>
      </c>
      <c r="C26" s="4" t="str">
        <f>사업장!C26</f>
        <v>(주)이랜드월드 속초</v>
      </c>
      <c r="D26" s="4" t="str">
        <f>사업장!D26</f>
        <v>2278502411</v>
      </c>
      <c r="E26" s="16">
        <f>사업장!N26</f>
        <v>0</v>
      </c>
      <c r="F26" s="16">
        <f>사업장!O26</f>
        <v>0</v>
      </c>
      <c r="G26" s="16">
        <f>사업장!P26</f>
        <v>0</v>
      </c>
      <c r="H26" s="4" t="b">
        <f>사업장!Q26</f>
        <v>0</v>
      </c>
      <c r="I26" s="4" t="b">
        <f>사업장!R26</f>
        <v>0</v>
      </c>
    </row>
    <row r="27" spans="2:9" hidden="1" x14ac:dyDescent="0.4">
      <c r="B27" s="4" t="str">
        <f>사업장!B27</f>
        <v>W182</v>
      </c>
      <c r="C27" s="4" t="str">
        <f>사업장!C27</f>
        <v>(주)이랜드월드 여의도</v>
      </c>
      <c r="D27" s="4" t="str">
        <f>사업장!D27</f>
        <v>1078527044</v>
      </c>
      <c r="E27" s="16">
        <f>사업장!N27</f>
        <v>0</v>
      </c>
      <c r="F27" s="16">
        <f>사업장!O27</f>
        <v>0</v>
      </c>
      <c r="G27" s="16">
        <f>사업장!P27</f>
        <v>0</v>
      </c>
      <c r="H27" s="4" t="b">
        <f>사업장!Q27</f>
        <v>0</v>
      </c>
      <c r="I27" s="4" t="b">
        <f>사업장!R27</f>
        <v>0</v>
      </c>
    </row>
    <row r="28" spans="2:9" hidden="1" x14ac:dyDescent="0.4">
      <c r="B28" s="4" t="str">
        <f>사업장!B28</f>
        <v>W196</v>
      </c>
      <c r="C28" s="4" t="str">
        <f>사업장!C28</f>
        <v>(주)이랜드월드 패션 홍대2</v>
      </c>
      <c r="D28" s="4" t="str">
        <f>사업장!D28</f>
        <v>1058532537</v>
      </c>
      <c r="E28" s="16">
        <f>사업장!N28</f>
        <v>0</v>
      </c>
      <c r="F28" s="16">
        <f>사업장!O28</f>
        <v>0</v>
      </c>
      <c r="G28" s="16">
        <f>사업장!P28</f>
        <v>0</v>
      </c>
      <c r="H28" s="4" t="b">
        <f>사업장!Q28</f>
        <v>0</v>
      </c>
      <c r="I28" s="4" t="b">
        <f>사업장!R28</f>
        <v>0</v>
      </c>
    </row>
    <row r="29" spans="2:9" hidden="1" x14ac:dyDescent="0.4">
      <c r="B29" s="4" t="str">
        <f>사업장!B29</f>
        <v>W202</v>
      </c>
      <c r="C29" s="4" t="str">
        <f>사업장!C29</f>
        <v>(주)이랜드월드 패션 대구동성로점</v>
      </c>
      <c r="D29" s="4" t="str">
        <f>사업장!D29</f>
        <v>5048536026</v>
      </c>
      <c r="E29" s="16">
        <f>사업장!N29</f>
        <v>0</v>
      </c>
      <c r="F29" s="16">
        <f>사업장!O29</f>
        <v>0</v>
      </c>
      <c r="G29" s="16">
        <f>사업장!P29</f>
        <v>0</v>
      </c>
      <c r="H29" s="4" t="b">
        <f>사업장!Q29</f>
        <v>0</v>
      </c>
      <c r="I29" s="4" t="b">
        <f>사업장!R29</f>
        <v>0</v>
      </c>
    </row>
    <row r="30" spans="2:9" hidden="1" x14ac:dyDescent="0.4">
      <c r="B30" s="4" t="str">
        <f>사업장!B30</f>
        <v>W204</v>
      </c>
      <c r="C30" s="4" t="str">
        <f>사업장!C30</f>
        <v>(주)이랜드월드패션 김포스카이점</v>
      </c>
      <c r="D30" s="4" t="str">
        <f>사업장!D30</f>
        <v>1098537534</v>
      </c>
      <c r="E30" s="16">
        <f>사업장!N30</f>
        <v>0</v>
      </c>
      <c r="F30" s="16">
        <f>사업장!O30</f>
        <v>0</v>
      </c>
      <c r="G30" s="16">
        <f>사업장!P30</f>
        <v>0</v>
      </c>
      <c r="H30" s="4" t="b">
        <f>사업장!Q30</f>
        <v>0</v>
      </c>
      <c r="I30" s="4" t="b">
        <f>사업장!R30</f>
        <v>0</v>
      </c>
    </row>
    <row r="31" spans="2:9" hidden="1" x14ac:dyDescent="0.4">
      <c r="B31" s="4" t="str">
        <f>사업장!B31</f>
        <v>W207</v>
      </c>
      <c r="C31" s="4" t="str">
        <f>사업장!C31</f>
        <v>(주)이랜드패션 강남점</v>
      </c>
      <c r="D31" s="4" t="str">
        <f>사업장!D31</f>
        <v>2208536564</v>
      </c>
      <c r="E31" s="16">
        <f>사업장!N31</f>
        <v>0</v>
      </c>
      <c r="F31" s="16">
        <f>사업장!O31</f>
        <v>0</v>
      </c>
      <c r="G31" s="16">
        <f>사업장!P31</f>
        <v>0</v>
      </c>
      <c r="H31" s="4" t="b">
        <f>사업장!Q31</f>
        <v>0</v>
      </c>
      <c r="I31" s="4" t="b">
        <f>사업장!R31</f>
        <v>0</v>
      </c>
    </row>
    <row r="32" spans="2:9" hidden="1" x14ac:dyDescent="0.4">
      <c r="B32" s="4" t="str">
        <f>사업장!B32</f>
        <v>W209</v>
      </c>
      <c r="C32" s="4" t="str">
        <f>사업장!C32</f>
        <v>(주)이랜드월드 미쏘 명동점</v>
      </c>
      <c r="D32" s="4" t="str">
        <f>사업장!D32</f>
        <v>2018528307</v>
      </c>
      <c r="E32" s="16">
        <f>사업장!N32</f>
        <v>0</v>
      </c>
      <c r="F32" s="16">
        <f>사업장!O32</f>
        <v>0</v>
      </c>
      <c r="G32" s="16">
        <f>사업장!P32</f>
        <v>0</v>
      </c>
      <c r="H32" s="4" t="b">
        <f>사업장!Q32</f>
        <v>0</v>
      </c>
      <c r="I32" s="4" t="b">
        <f>사업장!R32</f>
        <v>0</v>
      </c>
    </row>
    <row r="33" spans="2:9" hidden="1" x14ac:dyDescent="0.4">
      <c r="B33" s="4" t="str">
        <f>사업장!B33</f>
        <v>W212</v>
      </c>
      <c r="C33" s="4" t="str">
        <f>사업장!C33</f>
        <v>(주)이랜드월드패션 롯데수완아울렛</v>
      </c>
      <c r="D33" s="4" t="str">
        <f>사업장!D33</f>
        <v>4108541374</v>
      </c>
      <c r="E33" s="16">
        <f>사업장!N33</f>
        <v>0</v>
      </c>
      <c r="F33" s="16">
        <f>사업장!O33</f>
        <v>0</v>
      </c>
      <c r="G33" s="16">
        <f>사업장!P33</f>
        <v>0</v>
      </c>
      <c r="H33" s="4" t="b">
        <f>사업장!Q33</f>
        <v>0</v>
      </c>
      <c r="I33" s="4" t="b">
        <f>사업장!R33</f>
        <v>0</v>
      </c>
    </row>
    <row r="34" spans="2:9" hidden="1" x14ac:dyDescent="0.4">
      <c r="B34" s="4" t="str">
        <f>사업장!B34</f>
        <v>W220</v>
      </c>
      <c r="C34" s="4" t="str">
        <f>사업장!C34</f>
        <v>(주)이랜드월드 폴더 명동점</v>
      </c>
      <c r="D34" s="4" t="str">
        <f>사업장!D34</f>
        <v>2018528739</v>
      </c>
      <c r="E34" s="16">
        <f>사업장!N34</f>
        <v>0</v>
      </c>
      <c r="F34" s="16">
        <f>사업장!O34</f>
        <v>0</v>
      </c>
      <c r="G34" s="16">
        <f>사업장!P34</f>
        <v>0</v>
      </c>
      <c r="H34" s="4" t="b">
        <f>사업장!Q34</f>
        <v>0</v>
      </c>
      <c r="I34" s="4" t="b">
        <f>사업장!R34</f>
        <v>0</v>
      </c>
    </row>
    <row r="35" spans="2:9" hidden="1" x14ac:dyDescent="0.4">
      <c r="B35" s="4" t="str">
        <f>사업장!B35</f>
        <v>W222</v>
      </c>
      <c r="C35" s="4" t="str">
        <f>사업장!C35</f>
        <v>(주)이랜드월드 패션 성신여대유타몰점</v>
      </c>
      <c r="D35" s="4" t="str">
        <f>사업장!D35</f>
        <v>2098520842</v>
      </c>
      <c r="E35" s="16">
        <f>사업장!N35</f>
        <v>0</v>
      </c>
      <c r="F35" s="16">
        <f>사업장!O35</f>
        <v>0</v>
      </c>
      <c r="G35" s="16">
        <f>사업장!P35</f>
        <v>0</v>
      </c>
      <c r="H35" s="4" t="b">
        <f>사업장!Q35</f>
        <v>0</v>
      </c>
      <c r="I35" s="4" t="b">
        <f>사업장!R35</f>
        <v>0</v>
      </c>
    </row>
    <row r="36" spans="2:9" hidden="1" x14ac:dyDescent="0.4">
      <c r="B36" s="4" t="str">
        <f>사업장!B36</f>
        <v>W227</v>
      </c>
      <c r="C36" s="4" t="str">
        <f>사업장!C36</f>
        <v>(주)이랜드월드 폴더 충장로점</v>
      </c>
      <c r="D36" s="4" t="str">
        <f>사업장!D36</f>
        <v>4088528209</v>
      </c>
      <c r="E36" s="16">
        <f>사업장!N36</f>
        <v>0</v>
      </c>
      <c r="F36" s="16">
        <f>사업장!O36</f>
        <v>0</v>
      </c>
      <c r="G36" s="16">
        <f>사업장!P36</f>
        <v>0</v>
      </c>
      <c r="H36" s="4" t="b">
        <f>사업장!Q36</f>
        <v>0</v>
      </c>
      <c r="I36" s="4" t="b">
        <f>사업장!R36</f>
        <v>0</v>
      </c>
    </row>
    <row r="37" spans="2:9" hidden="1" x14ac:dyDescent="0.4">
      <c r="B37" s="4" t="str">
        <f>사업장!B37</f>
        <v>W228</v>
      </c>
      <c r="C37" s="4" t="str">
        <f>사업장!C37</f>
        <v>(주)이랜드월드 패션 동성로 3호점</v>
      </c>
      <c r="D37" s="4" t="str">
        <f>사업장!D37</f>
        <v>5048537665</v>
      </c>
      <c r="E37" s="16">
        <f>사업장!N37</f>
        <v>0</v>
      </c>
      <c r="F37" s="16">
        <f>사업장!O37</f>
        <v>0</v>
      </c>
      <c r="G37" s="16">
        <f>사업장!P37</f>
        <v>0</v>
      </c>
      <c r="H37" s="4" t="b">
        <f>사업장!Q37</f>
        <v>0</v>
      </c>
      <c r="I37" s="4" t="b">
        <f>사업장!R37</f>
        <v>0</v>
      </c>
    </row>
    <row r="38" spans="2:9" hidden="1" x14ac:dyDescent="0.4">
      <c r="B38" s="4" t="str">
        <f>사업장!B38</f>
        <v>W229</v>
      </c>
      <c r="C38" s="4" t="str">
        <f>사업장!C38</f>
        <v>(주)이랜드월드 연수스퀘어점</v>
      </c>
      <c r="D38" s="4" t="str">
        <f>사업장!D38</f>
        <v>1318546175</v>
      </c>
      <c r="E38" s="16">
        <f>사업장!N38</f>
        <v>0</v>
      </c>
      <c r="F38" s="16">
        <f>사업장!O38</f>
        <v>0</v>
      </c>
      <c r="G38" s="16">
        <f>사업장!P38</f>
        <v>0</v>
      </c>
      <c r="H38" s="4" t="b">
        <f>사업장!Q38</f>
        <v>0</v>
      </c>
      <c r="I38" s="4" t="b">
        <f>사업장!R38</f>
        <v>0</v>
      </c>
    </row>
    <row r="39" spans="2:9" hidden="1" x14ac:dyDescent="0.4">
      <c r="B39" s="4" t="str">
        <f>사업장!B39</f>
        <v>W232</v>
      </c>
      <c r="C39" s="4" t="str">
        <f>사업장!C39</f>
        <v>(주)이랜드월드 청주점</v>
      </c>
      <c r="D39" s="4" t="str">
        <f>사업장!D39</f>
        <v>3178512100</v>
      </c>
      <c r="E39" s="16">
        <f>사업장!N39</f>
        <v>0</v>
      </c>
      <c r="F39" s="16">
        <f>사업장!O39</f>
        <v>0</v>
      </c>
      <c r="G39" s="16">
        <f>사업장!P39</f>
        <v>0</v>
      </c>
      <c r="H39" s="4" t="b">
        <f>사업장!Q39</f>
        <v>0</v>
      </c>
      <c r="I39" s="4" t="b">
        <f>사업장!R39</f>
        <v>0</v>
      </c>
    </row>
    <row r="40" spans="2:9" hidden="1" x14ac:dyDescent="0.4">
      <c r="B40" s="4" t="str">
        <f>사업장!B40</f>
        <v>W233</v>
      </c>
      <c r="C40" s="4" t="str">
        <f>사업장!C40</f>
        <v>(주)이랜드월드 롯데청주아울렛</v>
      </c>
      <c r="D40" s="4" t="str">
        <f>사업장!D40</f>
        <v>3018541600</v>
      </c>
      <c r="E40" s="16">
        <f>사업장!N40</f>
        <v>0</v>
      </c>
      <c r="F40" s="16">
        <f>사업장!O40</f>
        <v>0</v>
      </c>
      <c r="G40" s="16">
        <f>사업장!P40</f>
        <v>0</v>
      </c>
      <c r="H40" s="4" t="b">
        <f>사업장!Q40</f>
        <v>0</v>
      </c>
      <c r="I40" s="4" t="b">
        <f>사업장!R40</f>
        <v>0</v>
      </c>
    </row>
    <row r="41" spans="2:9" hidden="1" x14ac:dyDescent="0.4">
      <c r="B41" s="4" t="str">
        <f>사업장!B41</f>
        <v>W238</v>
      </c>
      <c r="C41" s="4" t="str">
        <f>사업장!C41</f>
        <v>(주)이랜드월드 롯데서울역</v>
      </c>
      <c r="D41" s="4" t="str">
        <f>사업장!D41</f>
        <v>1048526274</v>
      </c>
      <c r="E41" s="16">
        <f>사업장!N41</f>
        <v>0</v>
      </c>
      <c r="F41" s="16">
        <f>사업장!O41</f>
        <v>0</v>
      </c>
      <c r="G41" s="16">
        <f>사업장!P41</f>
        <v>0</v>
      </c>
      <c r="H41" s="4" t="b">
        <f>사업장!Q41</f>
        <v>0</v>
      </c>
      <c r="I41" s="4" t="b">
        <f>사업장!R41</f>
        <v>0</v>
      </c>
    </row>
    <row r="42" spans="2:9" hidden="1" x14ac:dyDescent="0.4">
      <c r="B42" s="4" t="str">
        <f>사업장!B42</f>
        <v>W241</v>
      </c>
      <c r="C42" s="4" t="str">
        <f>사업장!C42</f>
        <v>(주)이랜드월드 퍼스트빌리지점</v>
      </c>
      <c r="D42" s="4" t="str">
        <f>사업장!D42</f>
        <v>3128557868</v>
      </c>
      <c r="E42" s="16">
        <f>사업장!N42</f>
        <v>0</v>
      </c>
      <c r="F42" s="16">
        <f>사업장!O42</f>
        <v>0</v>
      </c>
      <c r="G42" s="16">
        <f>사업장!P42</f>
        <v>0</v>
      </c>
      <c r="H42" s="4" t="b">
        <f>사업장!Q42</f>
        <v>0</v>
      </c>
      <c r="I42" s="4" t="b">
        <f>사업장!R42</f>
        <v>0</v>
      </c>
    </row>
    <row r="43" spans="2:9" hidden="1" x14ac:dyDescent="0.4">
      <c r="B43" s="4" t="str">
        <f>사업장!B43</f>
        <v>W242</v>
      </c>
      <c r="C43" s="4" t="str">
        <f>사업장!C43</f>
        <v>(주)이랜드월드패션 강남점</v>
      </c>
      <c r="D43" s="4" t="str">
        <f>사업장!D43</f>
        <v>2148550334</v>
      </c>
      <c r="E43" s="16">
        <f>사업장!N43</f>
        <v>0</v>
      </c>
      <c r="F43" s="16">
        <f>사업장!O43</f>
        <v>0</v>
      </c>
      <c r="G43" s="16">
        <f>사업장!P43</f>
        <v>0</v>
      </c>
      <c r="H43" s="4" t="b">
        <f>사업장!Q43</f>
        <v>0</v>
      </c>
      <c r="I43" s="4" t="b">
        <f>사업장!R43</f>
        <v>0</v>
      </c>
    </row>
    <row r="44" spans="2:9" hidden="1" x14ac:dyDescent="0.4">
      <c r="B44" s="4" t="str">
        <f>사업장!B44</f>
        <v>W243</v>
      </c>
      <c r="C44" s="4" t="str">
        <f>사업장!C44</f>
        <v>(주)이랜드월드패션 롯데창원점</v>
      </c>
      <c r="D44" s="4" t="str">
        <f>사업장!D44</f>
        <v>6098540368</v>
      </c>
      <c r="E44" s="16">
        <f>사업장!N44</f>
        <v>0</v>
      </c>
      <c r="F44" s="16">
        <f>사업장!O44</f>
        <v>0</v>
      </c>
      <c r="G44" s="16">
        <f>사업장!P44</f>
        <v>0</v>
      </c>
      <c r="H44" s="4" t="b">
        <f>사업장!Q44</f>
        <v>0</v>
      </c>
      <c r="I44" s="4" t="b">
        <f>사업장!R44</f>
        <v>0</v>
      </c>
    </row>
    <row r="45" spans="2:9" hidden="1" x14ac:dyDescent="0.4">
      <c r="B45" s="4" t="str">
        <f>사업장!B45</f>
        <v>W244</v>
      </c>
      <c r="C45" s="4" t="str">
        <f>사업장!C45</f>
        <v>(주)이랜드월드패션 롯데광복점</v>
      </c>
      <c r="D45" s="4" t="str">
        <f>사업장!D45</f>
        <v>6028520003</v>
      </c>
      <c r="E45" s="16">
        <f>사업장!N45</f>
        <v>0</v>
      </c>
      <c r="F45" s="16">
        <f>사업장!O45</f>
        <v>0</v>
      </c>
      <c r="G45" s="16">
        <f>사업장!P45</f>
        <v>0</v>
      </c>
      <c r="H45" s="4" t="b">
        <f>사업장!Q45</f>
        <v>0</v>
      </c>
      <c r="I45" s="4" t="b">
        <f>사업장!R45</f>
        <v>0</v>
      </c>
    </row>
    <row r="46" spans="2:9" hidden="1" x14ac:dyDescent="0.4">
      <c r="B46" s="4" t="str">
        <f>사업장!B46</f>
        <v>W246</v>
      </c>
      <c r="C46" s="4" t="str">
        <f>사업장!C46</f>
        <v>(주)이랜드월드패션울산업스퀘어점</v>
      </c>
      <c r="D46" s="4" t="str">
        <f>사업장!D46</f>
        <v>6108545475</v>
      </c>
      <c r="E46" s="16">
        <f>사업장!N46</f>
        <v>0</v>
      </c>
      <c r="F46" s="16">
        <f>사업장!O46</f>
        <v>0</v>
      </c>
      <c r="G46" s="16">
        <f>사업장!P46</f>
        <v>0</v>
      </c>
      <c r="H46" s="4" t="b">
        <f>사업장!Q46</f>
        <v>0</v>
      </c>
      <c r="I46" s="4" t="b">
        <f>사업장!R46</f>
        <v>0</v>
      </c>
    </row>
    <row r="47" spans="2:9" hidden="1" x14ac:dyDescent="0.4">
      <c r="B47" s="4" t="str">
        <f>사업장!B47</f>
        <v>W247</v>
      </c>
      <c r="C47" s="4" t="str">
        <f>사업장!C47</f>
        <v>(주)이랜드월드 미쏘 롯데캐슬점</v>
      </c>
      <c r="D47" s="4" t="str">
        <f>사업장!D47</f>
        <v>2158544801</v>
      </c>
      <c r="E47" s="16">
        <f>사업장!N47</f>
        <v>0</v>
      </c>
      <c r="F47" s="16">
        <f>사업장!O47</f>
        <v>0</v>
      </c>
      <c r="G47" s="16">
        <f>사업장!P47</f>
        <v>0</v>
      </c>
      <c r="H47" s="4" t="b">
        <f>사업장!Q47</f>
        <v>0</v>
      </c>
      <c r="I47" s="4" t="b">
        <f>사업장!R47</f>
        <v>0</v>
      </c>
    </row>
    <row r="48" spans="2:9" hidden="1" x14ac:dyDescent="0.4">
      <c r="B48" s="4" t="str">
        <f>사업장!B48</f>
        <v>W250</v>
      </c>
      <c r="C48" s="4" t="str">
        <f>사업장!C48</f>
        <v>(주)이랜드월드 패션 원주점</v>
      </c>
      <c r="D48" s="4" t="str">
        <f>사업장!D48</f>
        <v>2248525507</v>
      </c>
      <c r="E48" s="16">
        <f>사업장!N48</f>
        <v>0</v>
      </c>
      <c r="F48" s="16">
        <f>사업장!O48</f>
        <v>0</v>
      </c>
      <c r="G48" s="16">
        <f>사업장!P48</f>
        <v>0</v>
      </c>
      <c r="H48" s="4" t="b">
        <f>사업장!Q48</f>
        <v>0</v>
      </c>
      <c r="I48" s="4" t="b">
        <f>사업장!R48</f>
        <v>0</v>
      </c>
    </row>
    <row r="49" spans="2:9" hidden="1" x14ac:dyDescent="0.4">
      <c r="B49" s="4" t="str">
        <f>사업장!B49</f>
        <v>W253</v>
      </c>
      <c r="C49" s="4" t="str">
        <f>사업장!C49</f>
        <v>(주)이랜드월드패션 롯데동대문점</v>
      </c>
      <c r="D49" s="4" t="str">
        <f>사업장!D49</f>
        <v>2018536471</v>
      </c>
      <c r="E49" s="16">
        <f>사업장!N49</f>
        <v>0</v>
      </c>
      <c r="F49" s="16">
        <f>사업장!O49</f>
        <v>0</v>
      </c>
      <c r="G49" s="16">
        <f>사업장!P49</f>
        <v>0</v>
      </c>
      <c r="H49" s="4" t="b">
        <f>사업장!Q49</f>
        <v>0</v>
      </c>
      <c r="I49" s="4" t="b">
        <f>사업장!R49</f>
        <v>0</v>
      </c>
    </row>
    <row r="50" spans="2:9" hidden="1" x14ac:dyDescent="0.4">
      <c r="B50" s="4" t="str">
        <f>사업장!B50</f>
        <v>W255</v>
      </c>
      <c r="C50" s="4" t="str">
        <f>사업장!C50</f>
        <v>이랜드월드패션포항점</v>
      </c>
      <c r="D50" s="4" t="str">
        <f>사업장!D50</f>
        <v>5068526747</v>
      </c>
      <c r="E50" s="16">
        <f>사업장!N50</f>
        <v>0</v>
      </c>
      <c r="F50" s="16">
        <f>사업장!O50</f>
        <v>0</v>
      </c>
      <c r="G50" s="16">
        <f>사업장!P50</f>
        <v>0</v>
      </c>
      <c r="H50" s="4" t="b">
        <f>사업장!Q50</f>
        <v>0</v>
      </c>
      <c r="I50" s="4" t="b">
        <f>사업장!R50</f>
        <v>0</v>
      </c>
    </row>
    <row r="51" spans="2:9" hidden="1" x14ac:dyDescent="0.4">
      <c r="B51" s="4" t="str">
        <f>사업장!B51</f>
        <v>W258</v>
      </c>
      <c r="C51" s="4" t="str">
        <f>사업장!C51</f>
        <v>(주)이랜드월드 패션 김해내외점</v>
      </c>
      <c r="D51" s="4" t="str">
        <f>사업장!D51</f>
        <v>6158531409</v>
      </c>
      <c r="E51" s="16">
        <f>사업장!N51</f>
        <v>0</v>
      </c>
      <c r="F51" s="16">
        <f>사업장!O51</f>
        <v>0</v>
      </c>
      <c r="G51" s="16">
        <f>사업장!P51</f>
        <v>0</v>
      </c>
      <c r="H51" s="4" t="b">
        <f>사업장!Q51</f>
        <v>0</v>
      </c>
      <c r="I51" s="4" t="b">
        <f>사업장!R51</f>
        <v>0</v>
      </c>
    </row>
    <row r="52" spans="2:9" hidden="1" x14ac:dyDescent="0.4">
      <c r="B52" s="4" t="str">
        <f>사업장!B52</f>
        <v>W260</v>
      </c>
      <c r="C52" s="4" t="str">
        <f>사업장!C52</f>
        <v>(주)이랜드월드 패션 기장첼시아울렛</v>
      </c>
      <c r="D52" s="4" t="str">
        <f>사업장!D52</f>
        <v>6218535322</v>
      </c>
      <c r="E52" s="16">
        <f>사업장!N52</f>
        <v>0</v>
      </c>
      <c r="F52" s="16">
        <f>사업장!O52</f>
        <v>0</v>
      </c>
      <c r="G52" s="16">
        <f>사업장!P52</f>
        <v>0</v>
      </c>
      <c r="H52" s="4" t="b">
        <f>사업장!Q52</f>
        <v>0</v>
      </c>
      <c r="I52" s="4" t="b">
        <f>사업장!R52</f>
        <v>0</v>
      </c>
    </row>
    <row r="53" spans="2:9" hidden="1" x14ac:dyDescent="0.4">
      <c r="B53" s="4" t="str">
        <f>사업장!B53</f>
        <v>W263</v>
      </c>
      <c r="C53" s="4" t="str">
        <f>사업장!C53</f>
        <v>(주)이랜드월드패션강릉점</v>
      </c>
      <c r="D53" s="4" t="str">
        <f>사업장!D53</f>
        <v>2268531188</v>
      </c>
      <c r="E53" s="16">
        <f>사업장!N53</f>
        <v>0</v>
      </c>
      <c r="F53" s="16">
        <f>사업장!O53</f>
        <v>0</v>
      </c>
      <c r="G53" s="16">
        <f>사업장!P53</f>
        <v>0</v>
      </c>
      <c r="H53" s="4" t="b">
        <f>사업장!Q53</f>
        <v>0</v>
      </c>
      <c r="I53" s="4" t="b">
        <f>사업장!R53</f>
        <v>0</v>
      </c>
    </row>
    <row r="54" spans="2:9" x14ac:dyDescent="0.4">
      <c r="B54" s="4" t="str">
        <f>사업장!B54</f>
        <v>W266</v>
      </c>
      <c r="C54" s="4" t="str">
        <f>사업장!C54</f>
        <v>(주)이랜드월드 패션 청주메가폴리스</v>
      </c>
      <c r="D54" s="4" t="str">
        <f>사업장!D54</f>
        <v>3018543345</v>
      </c>
      <c r="E54" s="16">
        <f>사업장!N54</f>
        <v>3168903</v>
      </c>
      <c r="F54" s="16">
        <f>사업장!O54</f>
        <v>316890</v>
      </c>
      <c r="G54" s="16">
        <f>사업장!P54</f>
        <v>0</v>
      </c>
      <c r="H54" s="4" t="b">
        <f>사업장!Q54</f>
        <v>1</v>
      </c>
      <c r="I54" s="4" t="b">
        <f>사업장!R54</f>
        <v>0</v>
      </c>
    </row>
    <row r="55" spans="2:9" hidden="1" x14ac:dyDescent="0.4">
      <c r="B55" s="4" t="str">
        <f>사업장!B55</f>
        <v>W268</v>
      </c>
      <c r="C55" s="4" t="str">
        <f>사업장!C55</f>
        <v>(주)이랜드월드 미쏘시크릿포항점</v>
      </c>
      <c r="D55" s="4" t="str">
        <f>사업장!D55</f>
        <v>5068527203</v>
      </c>
      <c r="E55" s="16">
        <f>사업장!N55</f>
        <v>0</v>
      </c>
      <c r="F55" s="16">
        <f>사업장!O55</f>
        <v>0</v>
      </c>
      <c r="G55" s="16">
        <f>사업장!P55</f>
        <v>0</v>
      </c>
      <c r="H55" s="4" t="b">
        <f>사업장!Q55</f>
        <v>0</v>
      </c>
      <c r="I55" s="4" t="b">
        <f>사업장!R55</f>
        <v>0</v>
      </c>
    </row>
    <row r="56" spans="2:9" hidden="1" x14ac:dyDescent="0.4">
      <c r="B56" s="4" t="str">
        <f>사업장!B56</f>
        <v>W269</v>
      </c>
      <c r="C56" s="4" t="str">
        <f>사업장!C56</f>
        <v>(주)이랜드월드패션 롯데이천점</v>
      </c>
      <c r="D56" s="4" t="str">
        <f>사업장!D56</f>
        <v>1268557762</v>
      </c>
      <c r="E56" s="16">
        <f>사업장!N56</f>
        <v>0</v>
      </c>
      <c r="F56" s="16">
        <f>사업장!O56</f>
        <v>0</v>
      </c>
      <c r="G56" s="16">
        <f>사업장!P56</f>
        <v>0</v>
      </c>
      <c r="H56" s="4" t="b">
        <f>사업장!Q56</f>
        <v>0</v>
      </c>
      <c r="I56" s="4" t="b">
        <f>사업장!R56</f>
        <v>0</v>
      </c>
    </row>
    <row r="57" spans="2:9" hidden="1" x14ac:dyDescent="0.4">
      <c r="B57" s="4" t="str">
        <f>사업장!B57</f>
        <v>W271</v>
      </c>
      <c r="C57" s="4" t="str">
        <f>사업장!C57</f>
        <v>(주)이랜드월드 패션 아산터미널점</v>
      </c>
      <c r="D57" s="4" t="str">
        <f>사업장!D57</f>
        <v>3128562060</v>
      </c>
      <c r="E57" s="16">
        <f>사업장!N57</f>
        <v>0</v>
      </c>
      <c r="F57" s="16">
        <f>사업장!O57</f>
        <v>0</v>
      </c>
      <c r="G57" s="16">
        <f>사업장!P57</f>
        <v>0</v>
      </c>
      <c r="H57" s="4" t="b">
        <f>사업장!Q57</f>
        <v>0</v>
      </c>
      <c r="I57" s="4" t="b">
        <f>사업장!R57</f>
        <v>0</v>
      </c>
    </row>
    <row r="58" spans="2:9" hidden="1" x14ac:dyDescent="0.4">
      <c r="B58" s="4" t="str">
        <f>사업장!B58</f>
        <v>W275</v>
      </c>
      <c r="C58" s="4" t="str">
        <f>사업장!C58</f>
        <v>(주)이랜드월드 뉴발란스 홍대점</v>
      </c>
      <c r="D58" s="4" t="str">
        <f>사업장!D58</f>
        <v>1058538526</v>
      </c>
      <c r="E58" s="16">
        <f>사업장!N58</f>
        <v>0</v>
      </c>
      <c r="F58" s="16">
        <f>사업장!O58</f>
        <v>0</v>
      </c>
      <c r="G58" s="16">
        <f>사업장!P58</f>
        <v>0</v>
      </c>
      <c r="H58" s="4" t="b">
        <f>사업장!Q58</f>
        <v>0</v>
      </c>
      <c r="I58" s="4" t="b">
        <f>사업장!R58</f>
        <v>0</v>
      </c>
    </row>
    <row r="59" spans="2:9" hidden="1" x14ac:dyDescent="0.4">
      <c r="B59" s="4" t="str">
        <f>사업장!B59</f>
        <v>W281</v>
      </c>
      <c r="C59" s="4" t="str">
        <f>사업장!C59</f>
        <v>(주)이랜드월드패션 부산아시아드홈플러스점</v>
      </c>
      <c r="D59" s="4" t="str">
        <f>사업장!D59</f>
        <v>6078538380</v>
      </c>
      <c r="E59" s="16">
        <f>사업장!N59</f>
        <v>0</v>
      </c>
      <c r="F59" s="16">
        <f>사업장!O59</f>
        <v>0</v>
      </c>
      <c r="G59" s="16">
        <f>사업장!P59</f>
        <v>0</v>
      </c>
      <c r="H59" s="4" t="b">
        <f>사업장!Q59</f>
        <v>0</v>
      </c>
      <c r="I59" s="4" t="b">
        <f>사업장!R59</f>
        <v>0</v>
      </c>
    </row>
    <row r="60" spans="2:9" hidden="1" x14ac:dyDescent="0.4">
      <c r="B60" s="4" t="str">
        <f>사업장!B60</f>
        <v>W283</v>
      </c>
      <c r="C60" s="4" t="str">
        <f>사업장!C60</f>
        <v>(주)이랜드월드 패션 부평점</v>
      </c>
      <c r="D60" s="4" t="str">
        <f>사업장!D60</f>
        <v>1228553390</v>
      </c>
      <c r="E60" s="16">
        <f>사업장!N60</f>
        <v>0</v>
      </c>
      <c r="F60" s="16">
        <f>사업장!O60</f>
        <v>0</v>
      </c>
      <c r="G60" s="16">
        <f>사업장!P60</f>
        <v>0</v>
      </c>
      <c r="H60" s="4" t="b">
        <f>사업장!Q60</f>
        <v>0</v>
      </c>
      <c r="I60" s="4" t="b">
        <f>사업장!R60</f>
        <v>0</v>
      </c>
    </row>
    <row r="61" spans="2:9" hidden="1" x14ac:dyDescent="0.4">
      <c r="B61" s="4" t="str">
        <f>사업장!B61</f>
        <v>W284</v>
      </c>
      <c r="C61" s="4" t="str">
        <f>사업장!C61</f>
        <v>(주)이랜드월드패션 명동점</v>
      </c>
      <c r="D61" s="4" t="str">
        <f>사업장!D61</f>
        <v>2018539503</v>
      </c>
      <c r="E61" s="16">
        <f>사업장!N61</f>
        <v>0</v>
      </c>
      <c r="F61" s="16">
        <f>사업장!O61</f>
        <v>0</v>
      </c>
      <c r="G61" s="16">
        <f>사업장!P61</f>
        <v>0</v>
      </c>
      <c r="H61" s="4" t="b">
        <f>사업장!Q61</f>
        <v>0</v>
      </c>
      <c r="I61" s="4" t="b">
        <f>사업장!R61</f>
        <v>0</v>
      </c>
    </row>
    <row r="62" spans="2:9" hidden="1" x14ac:dyDescent="0.4">
      <c r="B62" s="4" t="str">
        <f>사업장!B62</f>
        <v>W285</v>
      </c>
      <c r="C62" s="4" t="str">
        <f>사업장!C62</f>
        <v>(주)이랜드월드 패션 의정부점</v>
      </c>
      <c r="D62" s="4" t="str">
        <f>사업장!D62</f>
        <v>1278561032</v>
      </c>
      <c r="E62" s="16">
        <f>사업장!N62</f>
        <v>0</v>
      </c>
      <c r="F62" s="16">
        <f>사업장!O62</f>
        <v>0</v>
      </c>
      <c r="G62" s="16">
        <f>사업장!P62</f>
        <v>0</v>
      </c>
      <c r="H62" s="4" t="b">
        <f>사업장!Q62</f>
        <v>0</v>
      </c>
      <c r="I62" s="4" t="b">
        <f>사업장!R62</f>
        <v>0</v>
      </c>
    </row>
    <row r="63" spans="2:9" x14ac:dyDescent="0.4">
      <c r="B63" s="4" t="str">
        <f>사업장!B63</f>
        <v>W287</v>
      </c>
      <c r="C63" s="4" t="str">
        <f>사업장!C63</f>
        <v>(주)이랜드월드 패션 성서점</v>
      </c>
      <c r="D63" s="4" t="str">
        <f>사업장!D63</f>
        <v>5038531668</v>
      </c>
      <c r="E63" s="16">
        <f>사업장!N63</f>
        <v>1108227</v>
      </c>
      <c r="F63" s="16">
        <f>사업장!O63</f>
        <v>110824</v>
      </c>
      <c r="G63" s="16">
        <f>사업장!P63</f>
        <v>0</v>
      </c>
      <c r="H63" s="4" t="b">
        <f>사업장!Q63</f>
        <v>1</v>
      </c>
      <c r="I63" s="4" t="b">
        <f>사업장!R63</f>
        <v>0</v>
      </c>
    </row>
    <row r="64" spans="2:9" hidden="1" x14ac:dyDescent="0.4">
      <c r="B64" s="4" t="str">
        <f>사업장!B64</f>
        <v>W290</v>
      </c>
      <c r="C64" s="4" t="str">
        <f>사업장!C64</f>
        <v>(주)이랜드월드 패션 동성로점</v>
      </c>
      <c r="D64" s="4" t="str">
        <f>사업장!D64</f>
        <v>5048541553</v>
      </c>
      <c r="E64" s="16">
        <f>사업장!N64</f>
        <v>0</v>
      </c>
      <c r="F64" s="16">
        <f>사업장!O64</f>
        <v>0</v>
      </c>
      <c r="G64" s="16">
        <f>사업장!P64</f>
        <v>0</v>
      </c>
      <c r="H64" s="4" t="b">
        <f>사업장!Q64</f>
        <v>0</v>
      </c>
      <c r="I64" s="4" t="b">
        <f>사업장!R64</f>
        <v>0</v>
      </c>
    </row>
    <row r="65" spans="2:9" hidden="1" x14ac:dyDescent="0.4">
      <c r="B65" s="4" t="str">
        <f>사업장!B65</f>
        <v>W291</v>
      </c>
      <c r="C65" s="4" t="str">
        <f>사업장!C65</f>
        <v>(주)이랜드월드패션 롯데수원점</v>
      </c>
      <c r="D65" s="4" t="str">
        <f>사업장!D65</f>
        <v>1248582381</v>
      </c>
      <c r="E65" s="16">
        <f>사업장!N65</f>
        <v>0</v>
      </c>
      <c r="F65" s="16">
        <f>사업장!O65</f>
        <v>0</v>
      </c>
      <c r="G65" s="16">
        <f>사업장!P65</f>
        <v>0</v>
      </c>
      <c r="H65" s="4" t="b">
        <f>사업장!Q65</f>
        <v>0</v>
      </c>
      <c r="I65" s="4" t="b">
        <f>사업장!R65</f>
        <v>0</v>
      </c>
    </row>
    <row r="66" spans="2:9" hidden="1" x14ac:dyDescent="0.4">
      <c r="B66" s="4" t="str">
        <f>사업장!B66</f>
        <v>W300</v>
      </c>
      <c r="C66" s="4" t="str">
        <f>사업장!C66</f>
        <v>(주)이랜드월드패션 천안풍세점</v>
      </c>
      <c r="D66" s="4" t="str">
        <f>사업장!D66</f>
        <v>3128564563</v>
      </c>
      <c r="E66" s="16">
        <f>사업장!N66</f>
        <v>0</v>
      </c>
      <c r="F66" s="16">
        <f>사업장!O66</f>
        <v>0</v>
      </c>
      <c r="G66" s="16">
        <f>사업장!P66</f>
        <v>0</v>
      </c>
      <c r="H66" s="4" t="b">
        <f>사업장!Q66</f>
        <v>0</v>
      </c>
      <c r="I66" s="4" t="b">
        <f>사업장!R66</f>
        <v>0</v>
      </c>
    </row>
    <row r="67" spans="2:9" hidden="1" x14ac:dyDescent="0.4">
      <c r="B67" s="4" t="str">
        <f>사업장!B67</f>
        <v>W301</v>
      </c>
      <c r="C67" s="4" t="str">
        <f>사업장!C67</f>
        <v>(주)이랜드월드패션 전주STS점</v>
      </c>
      <c r="D67" s="4" t="str">
        <f>사업장!D67</f>
        <v>4028533999</v>
      </c>
      <c r="E67" s="16">
        <f>사업장!N67</f>
        <v>0</v>
      </c>
      <c r="F67" s="16">
        <f>사업장!O67</f>
        <v>0</v>
      </c>
      <c r="G67" s="16">
        <f>사업장!P67</f>
        <v>0</v>
      </c>
      <c r="H67" s="4" t="b">
        <f>사업장!Q67</f>
        <v>0</v>
      </c>
      <c r="I67" s="4" t="b">
        <f>사업장!R67</f>
        <v>0</v>
      </c>
    </row>
    <row r="68" spans="2:9" x14ac:dyDescent="0.4">
      <c r="B68" s="4" t="str">
        <f>사업장!B68</f>
        <v>W302</v>
      </c>
      <c r="C68" s="4" t="str">
        <f>사업장!C68</f>
        <v>(주)이랜드월드패션 패션 목포하당점</v>
      </c>
      <c r="D68" s="4" t="str">
        <f>사업장!D68</f>
        <v>4118520955</v>
      </c>
      <c r="E68" s="16">
        <f>사업장!N68</f>
        <v>1570428</v>
      </c>
      <c r="F68" s="16">
        <f>사업장!O68</f>
        <v>157043</v>
      </c>
      <c r="G68" s="16">
        <f>사업장!P68</f>
        <v>0</v>
      </c>
      <c r="H68" s="4" t="b">
        <f>사업장!Q68</f>
        <v>1</v>
      </c>
      <c r="I68" s="4" t="b">
        <f>사업장!R68</f>
        <v>0</v>
      </c>
    </row>
    <row r="69" spans="2:9" hidden="1" x14ac:dyDescent="0.4">
      <c r="B69" s="4" t="str">
        <f>사업장!B69</f>
        <v>W305</v>
      </c>
      <c r="C69" s="4" t="str">
        <f>사업장!C69</f>
        <v>(주)이랜드월드 패션 명동폴더2호점</v>
      </c>
      <c r="D69" s="4" t="str">
        <f>사업장!D69</f>
        <v>2018539973</v>
      </c>
      <c r="E69" s="16">
        <f>사업장!N69</f>
        <v>0</v>
      </c>
      <c r="F69" s="16">
        <f>사업장!O69</f>
        <v>0</v>
      </c>
      <c r="G69" s="16">
        <f>사업장!P69</f>
        <v>0</v>
      </c>
      <c r="H69" s="4" t="b">
        <f>사업장!Q69</f>
        <v>0</v>
      </c>
      <c r="I69" s="4" t="b">
        <f>사업장!R69</f>
        <v>0</v>
      </c>
    </row>
    <row r="70" spans="2:9" hidden="1" x14ac:dyDescent="0.4">
      <c r="B70" s="4" t="str">
        <f>사업장!B70</f>
        <v>W312</v>
      </c>
      <c r="C70" s="4" t="str">
        <f>사업장!C70</f>
        <v>(주)이랜드월드 몰렛 경성대점</v>
      </c>
      <c r="D70" s="4" t="str">
        <f>사업장!D70</f>
        <v>6178546403</v>
      </c>
      <c r="E70" s="16">
        <f>사업장!N70</f>
        <v>0</v>
      </c>
      <c r="F70" s="16">
        <f>사업장!O70</f>
        <v>0</v>
      </c>
      <c r="G70" s="16">
        <f>사업장!P70</f>
        <v>0</v>
      </c>
      <c r="H70" s="4" t="b">
        <f>사업장!Q70</f>
        <v>0</v>
      </c>
      <c r="I70" s="4" t="b">
        <f>사업장!R70</f>
        <v>0</v>
      </c>
    </row>
    <row r="71" spans="2:9" hidden="1" x14ac:dyDescent="0.4">
      <c r="B71" s="4" t="str">
        <f>사업장!B71</f>
        <v>W314</v>
      </c>
      <c r="C71" s="4" t="str">
        <f>사업장!C71</f>
        <v>(주)이랜드월드패션 김해아이스퀘어점</v>
      </c>
      <c r="D71" s="4" t="str">
        <f>사업장!D71</f>
        <v>6158534901</v>
      </c>
      <c r="E71" s="16">
        <f>사업장!N71</f>
        <v>-18688292</v>
      </c>
      <c r="F71" s="16">
        <f>사업장!O71</f>
        <v>0</v>
      </c>
      <c r="G71" s="16">
        <f>사업장!P71</f>
        <v>0</v>
      </c>
      <c r="H71" s="4" t="b">
        <f>사업장!Q71</f>
        <v>0</v>
      </c>
      <c r="I71" s="4" t="b">
        <f>사업장!R71</f>
        <v>0</v>
      </c>
    </row>
    <row r="72" spans="2:9" hidden="1" x14ac:dyDescent="0.4">
      <c r="B72" s="4" t="str">
        <f>사업장!B72</f>
        <v>W315</v>
      </c>
      <c r="C72" s="4" t="str">
        <f>사업장!C72</f>
        <v>폴더 대전둔산점</v>
      </c>
      <c r="D72" s="4" t="str">
        <f>사업장!D72</f>
        <v>3148553271</v>
      </c>
      <c r="E72" s="16">
        <f>사업장!N72</f>
        <v>0</v>
      </c>
      <c r="F72" s="16">
        <f>사업장!O72</f>
        <v>0</v>
      </c>
      <c r="G72" s="16">
        <f>사업장!P72</f>
        <v>0</v>
      </c>
      <c r="H72" s="4" t="b">
        <f>사업장!Q72</f>
        <v>0</v>
      </c>
      <c r="I72" s="4" t="b">
        <f>사업장!R72</f>
        <v>0</v>
      </c>
    </row>
    <row r="73" spans="2:9" x14ac:dyDescent="0.4">
      <c r="B73" s="4" t="str">
        <f>사업장!B73</f>
        <v>W316</v>
      </c>
      <c r="C73" s="4" t="str">
        <f>사업장!C73</f>
        <v>(주)이랜드월드 제주점</v>
      </c>
      <c r="D73" s="4" t="str">
        <f>사업장!D73</f>
        <v>6168535086</v>
      </c>
      <c r="E73" s="16">
        <f>사업장!N73</f>
        <v>1376774</v>
      </c>
      <c r="F73" s="16">
        <f>사업장!O73</f>
        <v>137677</v>
      </c>
      <c r="G73" s="16">
        <f>사업장!P73</f>
        <v>0</v>
      </c>
      <c r="H73" s="4" t="b">
        <f>사업장!Q73</f>
        <v>1</v>
      </c>
      <c r="I73" s="4" t="b">
        <f>사업장!R73</f>
        <v>0</v>
      </c>
    </row>
    <row r="74" spans="2:9" hidden="1" x14ac:dyDescent="0.4">
      <c r="B74" s="4" t="str">
        <f>사업장!B74</f>
        <v>W319</v>
      </c>
      <c r="C74" s="4" t="str">
        <f>사업장!C74</f>
        <v>(주)이랜드월드 롯데몰 동부산점</v>
      </c>
      <c r="D74" s="4" t="str">
        <f>사업장!D74</f>
        <v>6218540183</v>
      </c>
      <c r="E74" s="16">
        <f>사업장!N74</f>
        <v>0</v>
      </c>
      <c r="F74" s="16">
        <f>사업장!O74</f>
        <v>0</v>
      </c>
      <c r="G74" s="16">
        <f>사업장!P74</f>
        <v>0</v>
      </c>
      <c r="H74" s="4" t="b">
        <f>사업장!Q74</f>
        <v>0</v>
      </c>
      <c r="I74" s="4" t="b">
        <f>사업장!R74</f>
        <v>0</v>
      </c>
    </row>
    <row r="75" spans="2:9" hidden="1" x14ac:dyDescent="0.4">
      <c r="B75" s="4" t="str">
        <f>사업장!B75</f>
        <v>W320</v>
      </c>
      <c r="C75" s="4" t="str">
        <f>사업장!C75</f>
        <v>(주)이랜드월드 충장로점</v>
      </c>
      <c r="D75" s="4" t="str">
        <f>사업장!D75</f>
        <v>4088531679</v>
      </c>
      <c r="E75" s="16">
        <f>사업장!N75</f>
        <v>0</v>
      </c>
      <c r="F75" s="16">
        <f>사업장!O75</f>
        <v>0</v>
      </c>
      <c r="G75" s="16">
        <f>사업장!P75</f>
        <v>0</v>
      </c>
      <c r="H75" s="4" t="b">
        <f>사업장!Q75</f>
        <v>0</v>
      </c>
      <c r="I75" s="4" t="b">
        <f>사업장!R75</f>
        <v>0</v>
      </c>
    </row>
    <row r="76" spans="2:9" hidden="1" x14ac:dyDescent="0.4">
      <c r="B76" s="4" t="str">
        <f>사업장!B76</f>
        <v>W321</v>
      </c>
      <c r="C76" s="4" t="str">
        <f>사업장!C76</f>
        <v>이랜드월드 신촌점</v>
      </c>
      <c r="D76" s="4" t="str">
        <f>사업장!D76</f>
        <v>1058541147</v>
      </c>
      <c r="E76" s="16">
        <f>사업장!N76</f>
        <v>0</v>
      </c>
      <c r="F76" s="16">
        <f>사업장!O76</f>
        <v>0</v>
      </c>
      <c r="G76" s="16">
        <f>사업장!P76</f>
        <v>0</v>
      </c>
      <c r="H76" s="4" t="b">
        <f>사업장!Q76</f>
        <v>0</v>
      </c>
      <c r="I76" s="4" t="b">
        <f>사업장!R76</f>
        <v>0</v>
      </c>
    </row>
    <row r="77" spans="2:9" hidden="1" x14ac:dyDescent="0.4">
      <c r="B77" s="4" t="str">
        <f>사업장!B77</f>
        <v>W323</v>
      </c>
      <c r="C77" s="4" t="str">
        <f>사업장!C77</f>
        <v>이랜드월드 마산점</v>
      </c>
      <c r="D77" s="4" t="str">
        <f>사업장!D77</f>
        <v>6088536371</v>
      </c>
      <c r="E77" s="16">
        <f>사업장!N77</f>
        <v>0</v>
      </c>
      <c r="F77" s="16">
        <f>사업장!O77</f>
        <v>0</v>
      </c>
      <c r="G77" s="16">
        <f>사업장!P77</f>
        <v>0</v>
      </c>
      <c r="H77" s="4" t="b">
        <f>사업장!Q77</f>
        <v>0</v>
      </c>
      <c r="I77" s="4" t="b">
        <f>사업장!R77</f>
        <v>0</v>
      </c>
    </row>
    <row r="78" spans="2:9" hidden="1" x14ac:dyDescent="0.4">
      <c r="B78" s="4" t="str">
        <f>사업장!B78</f>
        <v>W326</v>
      </c>
      <c r="C78" s="4" t="str">
        <f>사업장!C78</f>
        <v>(주)이랜드월드패션 진주정촌2점</v>
      </c>
      <c r="D78" s="4" t="str">
        <f>사업장!D78</f>
        <v>6138523086</v>
      </c>
      <c r="E78" s="16">
        <f>사업장!N78</f>
        <v>0</v>
      </c>
      <c r="F78" s="16">
        <f>사업장!O78</f>
        <v>0</v>
      </c>
      <c r="G78" s="16">
        <f>사업장!P78</f>
        <v>0</v>
      </c>
      <c r="H78" s="4" t="b">
        <f>사업장!Q78</f>
        <v>0</v>
      </c>
      <c r="I78" s="4" t="b">
        <f>사업장!R78</f>
        <v>0</v>
      </c>
    </row>
    <row r="79" spans="2:9" hidden="1" x14ac:dyDescent="0.4">
      <c r="B79" s="4" t="str">
        <f>사업장!B79</f>
        <v>W330</v>
      </c>
      <c r="C79" s="4" t="str">
        <f>사업장!C79</f>
        <v>(주)이랜드월드 패션춘천 M백화점</v>
      </c>
      <c r="D79" s="4" t="str">
        <f>사업장!D79</f>
        <v>8618500023</v>
      </c>
      <c r="E79" s="16">
        <f>사업장!N79</f>
        <v>0</v>
      </c>
      <c r="F79" s="16">
        <f>사업장!O79</f>
        <v>0</v>
      </c>
      <c r="G79" s="16">
        <f>사업장!P79</f>
        <v>0</v>
      </c>
      <c r="H79" s="4" t="b">
        <f>사업장!Q79</f>
        <v>0</v>
      </c>
      <c r="I79" s="4" t="b">
        <f>사업장!R79</f>
        <v>0</v>
      </c>
    </row>
    <row r="80" spans="2:9" hidden="1" x14ac:dyDescent="0.4">
      <c r="B80" s="4" t="str">
        <f>사업장!B80</f>
        <v>W331</v>
      </c>
      <c r="C80" s="4" t="str">
        <f>사업장!C80</f>
        <v>(주)이랜드월드 패션 포항</v>
      </c>
      <c r="D80" s="4" t="str">
        <f>사업장!D80</f>
        <v>6988500032</v>
      </c>
      <c r="E80" s="16">
        <f>사업장!N80</f>
        <v>0</v>
      </c>
      <c r="F80" s="16">
        <f>사업장!O80</f>
        <v>0</v>
      </c>
      <c r="G80" s="16">
        <f>사업장!P80</f>
        <v>0</v>
      </c>
      <c r="H80" s="4" t="b">
        <f>사업장!Q80</f>
        <v>0</v>
      </c>
      <c r="I80" s="4" t="b">
        <f>사업장!R80</f>
        <v>0</v>
      </c>
    </row>
    <row r="81" spans="2:9" x14ac:dyDescent="0.4">
      <c r="B81" s="4" t="str">
        <f>사업장!B81</f>
        <v>W332</v>
      </c>
      <c r="C81" s="4" t="str">
        <f>사업장!C81</f>
        <v>(주)이랜드월드 패션 분당애플프라자</v>
      </c>
      <c r="D81" s="4" t="str">
        <f>사업장!D81</f>
        <v>4338500041</v>
      </c>
      <c r="E81" s="16">
        <f>사업장!N81</f>
        <v>12133008</v>
      </c>
      <c r="F81" s="16">
        <f>사업장!O81</f>
        <v>1213301</v>
      </c>
      <c r="G81" s="16">
        <f>사업장!P81</f>
        <v>0</v>
      </c>
      <c r="H81" s="4" t="b">
        <f>사업장!Q81</f>
        <v>1</v>
      </c>
      <c r="I81" s="4" t="b">
        <f>사업장!R81</f>
        <v>0</v>
      </c>
    </row>
    <row r="82" spans="2:9" hidden="1" x14ac:dyDescent="0.4">
      <c r="B82" s="4" t="str">
        <f>사업장!B82</f>
        <v>W333</v>
      </c>
      <c r="C82" s="4" t="str">
        <f>사업장!C82</f>
        <v>(주)이랜드월드 패션오산점</v>
      </c>
      <c r="D82" s="4" t="str">
        <f>사업장!D82</f>
        <v>6168535844</v>
      </c>
      <c r="E82" s="16">
        <f>사업장!N82</f>
        <v>0</v>
      </c>
      <c r="F82" s="16">
        <f>사업장!O82</f>
        <v>0</v>
      </c>
      <c r="G82" s="16">
        <f>사업장!P82</f>
        <v>0</v>
      </c>
      <c r="H82" s="4" t="b">
        <f>사업장!Q82</f>
        <v>0</v>
      </c>
      <c r="I82" s="4" t="b">
        <f>사업장!R82</f>
        <v>0</v>
      </c>
    </row>
    <row r="83" spans="2:9" hidden="1" x14ac:dyDescent="0.4">
      <c r="B83" s="4" t="str">
        <f>사업장!B83</f>
        <v>W336</v>
      </c>
      <c r="C83" s="4" t="str">
        <f>사업장!C83</f>
        <v>(주)이랜드월드 패션 수유점</v>
      </c>
      <c r="D83" s="4" t="str">
        <f>사업장!D83</f>
        <v>7538500019</v>
      </c>
      <c r="E83" s="16">
        <f>사업장!N83</f>
        <v>0</v>
      </c>
      <c r="F83" s="16">
        <f>사업장!O83</f>
        <v>0</v>
      </c>
      <c r="G83" s="16">
        <f>사업장!P83</f>
        <v>0</v>
      </c>
      <c r="H83" s="4" t="b">
        <f>사업장!Q83</f>
        <v>0</v>
      </c>
      <c r="I83" s="4" t="b">
        <f>사업장!R83</f>
        <v>0</v>
      </c>
    </row>
    <row r="84" spans="2:9" hidden="1" x14ac:dyDescent="0.4">
      <c r="B84" s="4" t="str">
        <f>사업장!B84</f>
        <v>W338</v>
      </c>
      <c r="C84" s="4" t="str">
        <f>사업장!C84</f>
        <v>(주)이랜드월드 패션 건대 스타시티</v>
      </c>
      <c r="D84" s="4" t="str">
        <f>사업장!D84</f>
        <v>4798500014</v>
      </c>
      <c r="E84" s="16">
        <f>사업장!N84</f>
        <v>0</v>
      </c>
      <c r="F84" s="16">
        <f>사업장!O84</f>
        <v>0</v>
      </c>
      <c r="G84" s="16">
        <f>사업장!P84</f>
        <v>0</v>
      </c>
      <c r="H84" s="4" t="b">
        <f>사업장!Q84</f>
        <v>0</v>
      </c>
      <c r="I84" s="4" t="b">
        <f>사업장!R84</f>
        <v>0</v>
      </c>
    </row>
    <row r="85" spans="2:9" hidden="1" x14ac:dyDescent="0.4">
      <c r="B85" s="4" t="str">
        <f>사업장!B85</f>
        <v>W341</v>
      </c>
      <c r="C85" s="4" t="str">
        <f>사업장!C85</f>
        <v>(주)이랜드월드 패션 홍대 3호점</v>
      </c>
      <c r="D85" s="4" t="str">
        <f>사업장!D85</f>
        <v>3578500048</v>
      </c>
      <c r="E85" s="16">
        <f>사업장!N85</f>
        <v>0</v>
      </c>
      <c r="F85" s="16">
        <f>사업장!O85</f>
        <v>0</v>
      </c>
      <c r="G85" s="16">
        <f>사업장!P85</f>
        <v>0</v>
      </c>
      <c r="H85" s="4" t="b">
        <f>사업장!Q85</f>
        <v>0</v>
      </c>
      <c r="I85" s="4" t="b">
        <f>사업장!R85</f>
        <v>0</v>
      </c>
    </row>
    <row r="86" spans="2:9" hidden="1" x14ac:dyDescent="0.4">
      <c r="B86" s="4" t="str">
        <f>사업장!B86</f>
        <v>W344</v>
      </c>
      <c r="C86" s="4" t="str">
        <f>사업장!C86</f>
        <v>(주)이랜드월드 군산수송2점</v>
      </c>
      <c r="D86" s="4" t="str">
        <f>사업장!D86</f>
        <v>1698500081</v>
      </c>
      <c r="E86" s="16">
        <f>사업장!N86</f>
        <v>0</v>
      </c>
      <c r="F86" s="16">
        <f>사업장!O86</f>
        <v>0</v>
      </c>
      <c r="G86" s="16">
        <f>사업장!P86</f>
        <v>0</v>
      </c>
      <c r="H86" s="4" t="b">
        <f>사업장!Q86</f>
        <v>0</v>
      </c>
      <c r="I86" s="4" t="b">
        <f>사업장!R86</f>
        <v>0</v>
      </c>
    </row>
    <row r="87" spans="2:9" hidden="1" x14ac:dyDescent="0.4">
      <c r="B87" s="4" t="str">
        <f>사업장!B87</f>
        <v>W345</v>
      </c>
      <c r="C87" s="4" t="str">
        <f>사업장!C87</f>
        <v>(주)이랜드월드패션 명동2호점</v>
      </c>
      <c r="D87" s="4" t="str">
        <f>사업장!D87</f>
        <v>5838500119</v>
      </c>
      <c r="E87" s="16">
        <f>사업장!N87</f>
        <v>0</v>
      </c>
      <c r="F87" s="16">
        <f>사업장!O87</f>
        <v>0</v>
      </c>
      <c r="G87" s="16">
        <f>사업장!P87</f>
        <v>0</v>
      </c>
      <c r="H87" s="4" t="b">
        <f>사업장!Q87</f>
        <v>0</v>
      </c>
      <c r="I87" s="4" t="b">
        <f>사업장!R87</f>
        <v>0</v>
      </c>
    </row>
    <row r="88" spans="2:9" hidden="1" x14ac:dyDescent="0.4">
      <c r="B88" s="4" t="str">
        <f>사업장!B88</f>
        <v>W346</v>
      </c>
      <c r="C88" s="4" t="str">
        <f>사업장!C88</f>
        <v>(주)이랜드월드 광주상무점</v>
      </c>
      <c r="D88" s="4" t="str">
        <f>사업장!D88</f>
        <v>7398500084</v>
      </c>
      <c r="E88" s="16">
        <f>사업장!N88</f>
        <v>0</v>
      </c>
      <c r="F88" s="16">
        <f>사업장!O88</f>
        <v>0</v>
      </c>
      <c r="G88" s="16">
        <f>사업장!P88</f>
        <v>0</v>
      </c>
      <c r="H88" s="4" t="b">
        <f>사업장!Q88</f>
        <v>0</v>
      </c>
      <c r="I88" s="4" t="b">
        <f>사업장!R88</f>
        <v>0</v>
      </c>
    </row>
    <row r="89" spans="2:9" hidden="1" x14ac:dyDescent="0.4">
      <c r="B89" s="4" t="str">
        <f>사업장!B89</f>
        <v>W347</v>
      </c>
      <c r="C89" s="4" t="str">
        <f>사업장!C89</f>
        <v>(주)이랜드월드 미아연이점</v>
      </c>
      <c r="D89" s="4" t="str">
        <f>사업장!D89</f>
        <v>2498500086</v>
      </c>
      <c r="E89" s="16">
        <f>사업장!N89</f>
        <v>0</v>
      </c>
      <c r="F89" s="16">
        <f>사업장!O89</f>
        <v>0</v>
      </c>
      <c r="G89" s="16">
        <f>사업장!P89</f>
        <v>0</v>
      </c>
      <c r="H89" s="4" t="b">
        <f>사업장!Q89</f>
        <v>0</v>
      </c>
      <c r="I89" s="4" t="b">
        <f>사업장!R89</f>
        <v>0</v>
      </c>
    </row>
    <row r="90" spans="2:9" hidden="1" x14ac:dyDescent="0.4">
      <c r="B90" s="4" t="str">
        <f>사업장!B90</f>
        <v>W348</v>
      </c>
      <c r="C90" s="4" t="str">
        <f>사업장!C90</f>
        <v>(주)이랜드월드 패션 홍대</v>
      </c>
      <c r="D90" s="4" t="str">
        <f>사업장!D90</f>
        <v>6468500083</v>
      </c>
      <c r="E90" s="16">
        <f>사업장!N90</f>
        <v>0</v>
      </c>
      <c r="F90" s="16">
        <f>사업장!O90</f>
        <v>0</v>
      </c>
      <c r="G90" s="16">
        <f>사업장!P90</f>
        <v>0</v>
      </c>
      <c r="H90" s="4" t="b">
        <f>사업장!Q90</f>
        <v>0</v>
      </c>
      <c r="I90" s="4" t="b">
        <f>사업장!R90</f>
        <v>0</v>
      </c>
    </row>
    <row r="91" spans="2:9" x14ac:dyDescent="0.4">
      <c r="B91" s="4" t="str">
        <f>사업장!B91</f>
        <v>W349</v>
      </c>
      <c r="C91" s="4" t="str">
        <f>사업장!C91</f>
        <v>(주)이랜드월드 패션 포항2호점</v>
      </c>
      <c r="D91" s="4" t="str">
        <f>사업장!D91</f>
        <v>6188511343</v>
      </c>
      <c r="E91" s="16">
        <f>사업장!N91</f>
        <v>30716371</v>
      </c>
      <c r="F91" s="16">
        <f>사업장!O91</f>
        <v>3071638</v>
      </c>
      <c r="G91" s="16">
        <f>사업장!P91</f>
        <v>0</v>
      </c>
      <c r="H91" s="4" t="b">
        <f>사업장!Q91</f>
        <v>1</v>
      </c>
      <c r="I91" s="4" t="b">
        <f>사업장!R91</f>
        <v>0</v>
      </c>
    </row>
    <row r="92" spans="2:9" x14ac:dyDescent="0.4">
      <c r="B92" s="4" t="str">
        <f>사업장!B92</f>
        <v>W351</v>
      </c>
      <c r="C92" s="4" t="str">
        <f>사업장!C92</f>
        <v>(주)이랜드월드 강남점</v>
      </c>
      <c r="D92" s="4" t="str">
        <f>사업장!D92</f>
        <v>5488500192</v>
      </c>
      <c r="E92" s="16">
        <f>사업장!N92</f>
        <v>312</v>
      </c>
      <c r="F92" s="16">
        <f>사업장!O92</f>
        <v>31</v>
      </c>
      <c r="G92" s="16">
        <f>사업장!P92</f>
        <v>0</v>
      </c>
      <c r="H92" s="4" t="b">
        <f>사업장!Q92</f>
        <v>1</v>
      </c>
      <c r="I92" s="4" t="b">
        <f>사업장!R92</f>
        <v>0</v>
      </c>
    </row>
    <row r="93" spans="2:9" x14ac:dyDescent="0.4">
      <c r="B93" s="4" t="str">
        <f>사업장!B93</f>
        <v>W352</v>
      </c>
      <c r="C93" s="4" t="str">
        <f>사업장!C93</f>
        <v>(주)이랜드월드 패션 일산원마운트</v>
      </c>
      <c r="D93" s="4" t="str">
        <f>사업장!D93</f>
        <v>4108551362</v>
      </c>
      <c r="E93" s="16">
        <f>사업장!N93</f>
        <v>14649848</v>
      </c>
      <c r="F93" s="16">
        <f>사업장!O93</f>
        <v>1464984</v>
      </c>
      <c r="G93" s="16">
        <f>사업장!P93</f>
        <v>0</v>
      </c>
      <c r="H93" s="4" t="b">
        <f>사업장!Q93</f>
        <v>1</v>
      </c>
      <c r="I93" s="4" t="b">
        <f>사업장!R93</f>
        <v>0</v>
      </c>
    </row>
    <row r="94" spans="2:9" x14ac:dyDescent="0.4">
      <c r="B94" s="4" t="str">
        <f>사업장!B94</f>
        <v>W353</v>
      </c>
      <c r="C94" s="4" t="str">
        <f>사업장!C94</f>
        <v>(주)이랜드월드패션 제주 2호점(폴더)</v>
      </c>
      <c r="D94" s="4" t="str">
        <f>사업장!D94</f>
        <v>4838500139</v>
      </c>
      <c r="E94" s="16">
        <f>사업장!N94</f>
        <v>1274810</v>
      </c>
      <c r="F94" s="16">
        <f>사업장!O94</f>
        <v>127483</v>
      </c>
      <c r="G94" s="16">
        <f>사업장!P94</f>
        <v>0</v>
      </c>
      <c r="H94" s="4" t="b">
        <f>사업장!Q94</f>
        <v>1</v>
      </c>
      <c r="I94" s="4" t="b">
        <f>사업장!R94</f>
        <v>0</v>
      </c>
    </row>
    <row r="95" spans="2:9" hidden="1" x14ac:dyDescent="0.4">
      <c r="B95" s="4" t="str">
        <f>사업장!B95</f>
        <v>W354</v>
      </c>
      <c r="C95" s="4" t="str">
        <f>사업장!C95</f>
        <v>(주)이랜드월드 패션 가로수길</v>
      </c>
      <c r="D95" s="4" t="str">
        <f>사업장!D95</f>
        <v>6088536880</v>
      </c>
      <c r="E95" s="16">
        <f>사업장!N95</f>
        <v>0</v>
      </c>
      <c r="F95" s="16">
        <f>사업장!O95</f>
        <v>0</v>
      </c>
      <c r="G95" s="16">
        <f>사업장!P95</f>
        <v>0</v>
      </c>
      <c r="H95" s="4" t="b">
        <f>사업장!Q95</f>
        <v>0</v>
      </c>
      <c r="I95" s="4" t="b">
        <f>사업장!R95</f>
        <v>0</v>
      </c>
    </row>
    <row r="96" spans="2:9" hidden="1" x14ac:dyDescent="0.4">
      <c r="B96" s="4" t="str">
        <f>사업장!B96</f>
        <v>W355</v>
      </c>
      <c r="C96" s="4" t="str">
        <f>사업장!C96</f>
        <v>(주)이랜드월드패션 코엑스</v>
      </c>
      <c r="D96" s="4" t="str">
        <f>사업장!D96</f>
        <v>4118521672</v>
      </c>
      <c r="E96" s="16">
        <f>사업장!N96</f>
        <v>0</v>
      </c>
      <c r="F96" s="16">
        <f>사업장!O96</f>
        <v>0</v>
      </c>
      <c r="G96" s="16">
        <f>사업장!P96</f>
        <v>0</v>
      </c>
      <c r="H96" s="4" t="b">
        <f>사업장!Q96</f>
        <v>0</v>
      </c>
      <c r="I96" s="4" t="b">
        <f>사업장!R96</f>
        <v>0</v>
      </c>
    </row>
    <row r="97" spans="2:9" hidden="1" x14ac:dyDescent="0.4">
      <c r="B97" s="4" t="str">
        <f>사업장!B97</f>
        <v>W356</v>
      </c>
      <c r="C97" s="4" t="str">
        <f>사업장!C97</f>
        <v>(주)이랜드월드패션 동성로 5호점</v>
      </c>
      <c r="D97" s="4" t="str">
        <f>사업장!D97</f>
        <v>7048500278</v>
      </c>
      <c r="E97" s="16">
        <f>사업장!N97</f>
        <v>0</v>
      </c>
      <c r="F97" s="16">
        <f>사업장!O97</f>
        <v>0</v>
      </c>
      <c r="G97" s="16">
        <f>사업장!P97</f>
        <v>0</v>
      </c>
      <c r="H97" s="4" t="b">
        <f>사업장!Q97</f>
        <v>0</v>
      </c>
      <c r="I97" s="4" t="b">
        <f>사업장!R97</f>
        <v>0</v>
      </c>
    </row>
    <row r="98" spans="2:9" hidden="1" x14ac:dyDescent="0.4">
      <c r="B98" s="4" t="str">
        <f>사업장!B98</f>
        <v>W359</v>
      </c>
      <c r="C98" s="4" t="str">
        <f>사업장!C98</f>
        <v>(주)이랜드월드 상봉점</v>
      </c>
      <c r="D98" s="4" t="str">
        <f>사업장!D98</f>
        <v>3858500247</v>
      </c>
      <c r="E98" s="16">
        <f>사업장!N98</f>
        <v>0</v>
      </c>
      <c r="F98" s="16">
        <f>사업장!O98</f>
        <v>0</v>
      </c>
      <c r="G98" s="16">
        <f>사업장!P98</f>
        <v>0</v>
      </c>
      <c r="H98" s="4" t="b">
        <f>사업장!Q98</f>
        <v>0</v>
      </c>
      <c r="I98" s="4" t="b">
        <f>사업장!R98</f>
        <v>0</v>
      </c>
    </row>
    <row r="99" spans="2:9" hidden="1" x14ac:dyDescent="0.4">
      <c r="B99" s="4" t="str">
        <f>사업장!B99</f>
        <v>W361</v>
      </c>
      <c r="C99" s="4" t="str">
        <f>사업장!C99</f>
        <v>(주)이랜드월드패션 현대송도아울렛점</v>
      </c>
      <c r="D99" s="4" t="str">
        <f>사업장!D99</f>
        <v>3608500326</v>
      </c>
      <c r="E99" s="16">
        <f>사업장!N99</f>
        <v>0</v>
      </c>
      <c r="F99" s="16">
        <f>사업장!O99</f>
        <v>0</v>
      </c>
      <c r="G99" s="16">
        <f>사업장!P99</f>
        <v>0</v>
      </c>
      <c r="H99" s="4" t="b">
        <f>사업장!Q99</f>
        <v>0</v>
      </c>
      <c r="I99" s="4" t="b">
        <f>사업장!R99</f>
        <v>0</v>
      </c>
    </row>
    <row r="100" spans="2:9" x14ac:dyDescent="0.4">
      <c r="B100" s="4" t="str">
        <f>사업장!B100</f>
        <v>W362</v>
      </c>
      <c r="C100" s="4" t="str">
        <f>사업장!C100</f>
        <v>(주)이랜드월드패션 포도몰점</v>
      </c>
      <c r="D100" s="4" t="str">
        <f>사업장!D100</f>
        <v>3678500384</v>
      </c>
      <c r="E100" s="16">
        <f>사업장!N100</f>
        <v>35842884</v>
      </c>
      <c r="F100" s="16">
        <f>사업장!O100</f>
        <v>3584287</v>
      </c>
      <c r="G100" s="16">
        <f>사업장!P100</f>
        <v>0</v>
      </c>
      <c r="H100" s="4" t="b">
        <f>사업장!Q100</f>
        <v>1</v>
      </c>
      <c r="I100" s="4" t="b">
        <f>사업장!R100</f>
        <v>0</v>
      </c>
    </row>
    <row r="101" spans="2:9" hidden="1" x14ac:dyDescent="0.4">
      <c r="B101" s="4" t="str">
        <f>사업장!B101</f>
        <v>W363</v>
      </c>
      <c r="C101" s="4" t="str">
        <f>사업장!C101</f>
        <v>(주)이랜드월드 패션 키즈덤 하남점</v>
      </c>
      <c r="D101" s="4" t="str">
        <f>사업장!D101</f>
        <v>2078554889</v>
      </c>
      <c r="E101" s="16">
        <f>사업장!N101</f>
        <v>0</v>
      </c>
      <c r="F101" s="16">
        <f>사업장!O101</f>
        <v>0</v>
      </c>
      <c r="G101" s="16">
        <f>사업장!P101</f>
        <v>0</v>
      </c>
      <c r="H101" s="4" t="b">
        <f>사업장!Q101</f>
        <v>0</v>
      </c>
      <c r="I101" s="4" t="b">
        <f>사업장!R101</f>
        <v>0</v>
      </c>
    </row>
    <row r="102" spans="2:9" hidden="1" x14ac:dyDescent="0.4">
      <c r="B102" s="4" t="str">
        <f>사업장!B102</f>
        <v>W366</v>
      </c>
      <c r="C102" s="4" t="str">
        <f>사업장!C102</f>
        <v>(주)이랜드월드 패션 롯데몰은평</v>
      </c>
      <c r="D102" s="4" t="str">
        <f>사업장!D102</f>
        <v>3538500459</v>
      </c>
      <c r="E102" s="16">
        <f>사업장!N102</f>
        <v>0</v>
      </c>
      <c r="F102" s="16">
        <f>사업장!O102</f>
        <v>0</v>
      </c>
      <c r="G102" s="16">
        <f>사업장!P102</f>
        <v>0</v>
      </c>
      <c r="H102" s="4" t="b">
        <f>사업장!Q102</f>
        <v>0</v>
      </c>
      <c r="I102" s="4" t="b">
        <f>사업장!R102</f>
        <v>0</v>
      </c>
    </row>
    <row r="103" spans="2:9" hidden="1" x14ac:dyDescent="0.4">
      <c r="B103" s="4" t="str">
        <f>사업장!B103</f>
        <v>W367</v>
      </c>
      <c r="C103" s="4" t="str">
        <f>사업장!C103</f>
        <v>(주)이랜드월드패션울산신선도원몰(메가마트)</v>
      </c>
      <c r="D103" s="4" t="str">
        <f>사업장!D103</f>
        <v>8278500488</v>
      </c>
      <c r="E103" s="16">
        <f>사업장!N103</f>
        <v>0</v>
      </c>
      <c r="F103" s="16">
        <f>사업장!O103</f>
        <v>0</v>
      </c>
      <c r="G103" s="16">
        <f>사업장!P103</f>
        <v>0</v>
      </c>
      <c r="H103" s="4" t="b">
        <f>사업장!Q103</f>
        <v>0</v>
      </c>
      <c r="I103" s="4" t="b">
        <f>사업장!R103</f>
        <v>0</v>
      </c>
    </row>
    <row r="104" spans="2:9" x14ac:dyDescent="0.4">
      <c r="B104" s="4" t="str">
        <f>사업장!B104</f>
        <v>W368</v>
      </c>
      <c r="C104" s="4" t="str">
        <f>사업장!C104</f>
        <v>(주)이랜드월드패션사업부 폴더구미</v>
      </c>
      <c r="D104" s="4" t="str">
        <f>사업장!D104</f>
        <v>3398500400</v>
      </c>
      <c r="E104" s="16">
        <f>사업장!N104</f>
        <v>804164</v>
      </c>
      <c r="F104" s="16">
        <f>사업장!O104</f>
        <v>80416</v>
      </c>
      <c r="G104" s="16">
        <f>사업장!P104</f>
        <v>0</v>
      </c>
      <c r="H104" s="4" t="b">
        <f>사업장!Q104</f>
        <v>1</v>
      </c>
      <c r="I104" s="4" t="b">
        <f>사업장!R104</f>
        <v>0</v>
      </c>
    </row>
    <row r="105" spans="2:9" x14ac:dyDescent="0.4">
      <c r="B105" s="4" t="str">
        <f>사업장!B105</f>
        <v>W370</v>
      </c>
      <c r="C105" s="4" t="str">
        <f>사업장!C105</f>
        <v>(주)이랜드월드패션 의정부2호점</v>
      </c>
      <c r="D105" s="4" t="str">
        <f>사업장!D105</f>
        <v>2188504531</v>
      </c>
      <c r="E105" s="16">
        <f>사업장!N105</f>
        <v>511678</v>
      </c>
      <c r="F105" s="16">
        <f>사업장!O105</f>
        <v>51168</v>
      </c>
      <c r="G105" s="16">
        <f>사업장!P105</f>
        <v>0</v>
      </c>
      <c r="H105" s="4" t="b">
        <f>사업장!Q105</f>
        <v>1</v>
      </c>
      <c r="I105" s="4" t="b">
        <f>사업장!R105</f>
        <v>0</v>
      </c>
    </row>
    <row r="106" spans="2:9" hidden="1" x14ac:dyDescent="0.4">
      <c r="B106" s="4" t="str">
        <f>사업장!B106</f>
        <v>W374</v>
      </c>
      <c r="C106" s="4" t="str">
        <f>사업장!C106</f>
        <v>(주)이랜드월드 아트로</v>
      </c>
      <c r="D106" s="4" t="str">
        <f>사업장!D106</f>
        <v>6968500545</v>
      </c>
      <c r="E106" s="16">
        <f>사업장!N106</f>
        <v>0</v>
      </c>
      <c r="F106" s="16">
        <f>사업장!O106</f>
        <v>0</v>
      </c>
      <c r="G106" s="16">
        <f>사업장!P106</f>
        <v>0</v>
      </c>
      <c r="H106" s="4" t="b">
        <f>사업장!Q106</f>
        <v>0</v>
      </c>
      <c r="I106" s="4" t="b">
        <f>사업장!R106</f>
        <v>0</v>
      </c>
    </row>
    <row r="107" spans="2:9" hidden="1" x14ac:dyDescent="0.4">
      <c r="B107" s="4" t="str">
        <f>사업장!B107</f>
        <v>W376</v>
      </c>
      <c r="C107" s="4" t="str">
        <f>사업장!C107</f>
        <v>(주)이랜드월드패션 첼시시흥프리미엄아울렛</v>
      </c>
      <c r="D107" s="4" t="str">
        <f>사업장!D107</f>
        <v>6448500563</v>
      </c>
      <c r="E107" s="16">
        <f>사업장!N107</f>
        <v>0</v>
      </c>
      <c r="F107" s="16">
        <f>사업장!O107</f>
        <v>0</v>
      </c>
      <c r="G107" s="16">
        <f>사업장!P107</f>
        <v>0</v>
      </c>
      <c r="H107" s="4" t="b">
        <f>사업장!Q107</f>
        <v>0</v>
      </c>
      <c r="I107" s="4" t="b">
        <f>사업장!R107</f>
        <v>0</v>
      </c>
    </row>
    <row r="108" spans="2:9" hidden="1" x14ac:dyDescent="0.4">
      <c r="B108" s="4" t="str">
        <f>사업장!B108</f>
        <v>W378</v>
      </c>
      <c r="C108" s="4" t="str">
        <f>사업장!C108</f>
        <v>(주)이랜드월드패션롯데아울렛 고양점</v>
      </c>
      <c r="D108" s="4" t="str">
        <f>사업장!D108</f>
        <v>3998500571</v>
      </c>
      <c r="E108" s="16">
        <f>사업장!N108</f>
        <v>0</v>
      </c>
      <c r="F108" s="16">
        <f>사업장!O108</f>
        <v>0</v>
      </c>
      <c r="G108" s="16">
        <f>사업장!P108</f>
        <v>0</v>
      </c>
      <c r="H108" s="4" t="b">
        <f>사업장!Q108</f>
        <v>0</v>
      </c>
      <c r="I108" s="4" t="b">
        <f>사업장!R108</f>
        <v>0</v>
      </c>
    </row>
    <row r="109" spans="2:9" x14ac:dyDescent="0.4">
      <c r="B109" s="4" t="str">
        <f>사업장!B109</f>
        <v>W380</v>
      </c>
      <c r="C109" s="4" t="str">
        <f>사업장!C109</f>
        <v>(주)이랜드월드패션 스타필드 고양점</v>
      </c>
      <c r="D109" s="4" t="str">
        <f>사업장!D109</f>
        <v>1408525984</v>
      </c>
      <c r="E109" s="16">
        <f>사업장!N109</f>
        <v>347195180</v>
      </c>
      <c r="F109" s="16">
        <f>사업장!O109</f>
        <v>34719518</v>
      </c>
      <c r="G109" s="16">
        <f>사업장!P109</f>
        <v>0</v>
      </c>
      <c r="H109" s="4" t="b">
        <f>사업장!Q109</f>
        <v>1</v>
      </c>
      <c r="I109" s="4" t="b">
        <f>사업장!R109</f>
        <v>0</v>
      </c>
    </row>
    <row r="110" spans="2:9" hidden="1" x14ac:dyDescent="0.4">
      <c r="B110" s="4" t="str">
        <f>사업장!B110</f>
        <v>W382</v>
      </c>
      <c r="C110" s="4" t="str">
        <f>사업장!C110</f>
        <v>(주)이랜드월드패션 롯데고양점</v>
      </c>
      <c r="D110" s="4" t="str">
        <f>사업장!D110</f>
        <v>3028508512</v>
      </c>
      <c r="E110" s="16">
        <f>사업장!N110</f>
        <v>0</v>
      </c>
      <c r="F110" s="16">
        <f>사업장!O110</f>
        <v>0</v>
      </c>
      <c r="G110" s="16">
        <f>사업장!P110</f>
        <v>0</v>
      </c>
      <c r="H110" s="4" t="b">
        <f>사업장!Q110</f>
        <v>0</v>
      </c>
      <c r="I110" s="4" t="b">
        <f>사업장!R110</f>
        <v>0</v>
      </c>
    </row>
    <row r="111" spans="2:9" hidden="1" x14ac:dyDescent="0.4">
      <c r="B111" s="4" t="str">
        <f>사업장!B111</f>
        <v>W383</v>
      </c>
      <c r="C111" s="4" t="str">
        <f>사업장!C111</f>
        <v>(주)이랜드월드 미쏘 IFC몰점</v>
      </c>
      <c r="D111" s="4" t="str">
        <f>사업장!D111</f>
        <v>4268500500</v>
      </c>
      <c r="E111" s="16">
        <f>사업장!N111</f>
        <v>0</v>
      </c>
      <c r="F111" s="16">
        <f>사업장!O111</f>
        <v>0</v>
      </c>
      <c r="G111" s="16">
        <f>사업장!P111</f>
        <v>0</v>
      </c>
      <c r="H111" s="4" t="b">
        <f>사업장!Q111</f>
        <v>0</v>
      </c>
      <c r="I111" s="4" t="b">
        <f>사업장!R111</f>
        <v>0</v>
      </c>
    </row>
    <row r="112" spans="2:9" x14ac:dyDescent="0.4">
      <c r="B112" s="4" t="str">
        <f>사업장!B112</f>
        <v>W384</v>
      </c>
      <c r="C112" s="4" t="str">
        <f>사업장!C112</f>
        <v>(주)이랜드월드 패션사업부 구미인동</v>
      </c>
      <c r="D112" s="4" t="str">
        <f>사업장!D112</f>
        <v>2178523990</v>
      </c>
      <c r="E112" s="16">
        <f>사업장!N112</f>
        <v>678540</v>
      </c>
      <c r="F112" s="16">
        <f>사업장!O112</f>
        <v>67854</v>
      </c>
      <c r="G112" s="16">
        <f>사업장!P112</f>
        <v>0</v>
      </c>
      <c r="H112" s="4" t="b">
        <f>사업장!Q112</f>
        <v>1</v>
      </c>
      <c r="I112" s="4" t="b">
        <f>사업장!R112</f>
        <v>0</v>
      </c>
    </row>
    <row r="113" spans="2:9" hidden="1" x14ac:dyDescent="0.4">
      <c r="B113" s="4" t="str">
        <f>사업장!B113</f>
        <v>W385</v>
      </c>
      <c r="C113" s="4" t="str">
        <f>사업장!C113</f>
        <v>㈜이랜드월드패션 라붐아울렛점</v>
      </c>
      <c r="D113" s="4" t="str">
        <f>사업장!D113</f>
        <v>7118500806</v>
      </c>
      <c r="E113" s="16">
        <f>사업장!N113</f>
        <v>0</v>
      </c>
      <c r="F113" s="16">
        <f>사업장!O113</f>
        <v>0</v>
      </c>
      <c r="G113" s="16">
        <f>사업장!P113</f>
        <v>0</v>
      </c>
      <c r="H113" s="4" t="b">
        <f>사업장!Q113</f>
        <v>0</v>
      </c>
      <c r="I113" s="4" t="b">
        <f>사업장!R113</f>
        <v>0</v>
      </c>
    </row>
    <row r="114" spans="2:9" hidden="1" x14ac:dyDescent="0.4">
      <c r="B114" s="4" t="str">
        <f>사업장!B114</f>
        <v>W388</v>
      </c>
      <c r="C114" s="4" t="str">
        <f>사업장!C114</f>
        <v>(주)이랜드월드패션 롯데 대전점</v>
      </c>
      <c r="D114" s="4" t="str">
        <f>사업장!D114</f>
        <v>4458500855</v>
      </c>
      <c r="E114" s="16">
        <f>사업장!N114</f>
        <v>0</v>
      </c>
      <c r="F114" s="16">
        <f>사업장!O114</f>
        <v>0</v>
      </c>
      <c r="G114" s="16">
        <f>사업장!P114</f>
        <v>0</v>
      </c>
      <c r="H114" s="4" t="b">
        <f>사업장!Q114</f>
        <v>0</v>
      </c>
      <c r="I114" s="4" t="b">
        <f>사업장!R114</f>
        <v>0</v>
      </c>
    </row>
    <row r="115" spans="2:9" hidden="1" x14ac:dyDescent="0.4">
      <c r="B115" s="4" t="str">
        <f>사업장!B115</f>
        <v>W391</v>
      </c>
      <c r="C115" s="4" t="str">
        <f>사업장!C115</f>
        <v>(주)이랜드월드패션 신제주점</v>
      </c>
      <c r="D115" s="4" t="str">
        <f>사업장!D115</f>
        <v>4838500916</v>
      </c>
      <c r="E115" s="16">
        <f>사업장!N115</f>
        <v>0</v>
      </c>
      <c r="F115" s="16">
        <f>사업장!O115</f>
        <v>0</v>
      </c>
      <c r="G115" s="16">
        <f>사업장!P115</f>
        <v>0</v>
      </c>
      <c r="H115" s="4" t="b">
        <f>사업장!Q115</f>
        <v>0</v>
      </c>
      <c r="I115" s="4" t="b">
        <f>사업장!R115</f>
        <v>0</v>
      </c>
    </row>
    <row r="116" spans="2:9" hidden="1" x14ac:dyDescent="0.4">
      <c r="B116" s="4" t="str">
        <f>사업장!B116</f>
        <v>W392</v>
      </c>
      <c r="C116" s="4" t="str">
        <f>사업장!C116</f>
        <v>(주)이랜드월드패션 패션아일랜드대전점</v>
      </c>
      <c r="D116" s="4" t="str">
        <f>사업장!D116</f>
        <v>1848500756</v>
      </c>
      <c r="E116" s="16">
        <f>사업장!N116</f>
        <v>0</v>
      </c>
      <c r="F116" s="16">
        <f>사업장!O116</f>
        <v>0</v>
      </c>
      <c r="G116" s="16">
        <f>사업장!P116</f>
        <v>0</v>
      </c>
      <c r="H116" s="4" t="b">
        <f>사업장!Q116</f>
        <v>0</v>
      </c>
      <c r="I116" s="4" t="b">
        <f>사업장!R116</f>
        <v>0</v>
      </c>
    </row>
    <row r="117" spans="2:9" hidden="1" x14ac:dyDescent="0.4">
      <c r="B117" s="4" t="str">
        <f>사업장!B117</f>
        <v>W393</v>
      </c>
      <c r="C117" s="4" t="str">
        <f>사업장!C117</f>
        <v>(주)이랜드월드 홈플러스 광양점</v>
      </c>
      <c r="D117" s="4" t="str">
        <f>사업장!D117</f>
        <v>8838500794</v>
      </c>
      <c r="E117" s="16">
        <f>사업장!N117</f>
        <v>0</v>
      </c>
      <c r="F117" s="16">
        <f>사업장!O117</f>
        <v>0</v>
      </c>
      <c r="G117" s="16">
        <f>사업장!P117</f>
        <v>0</v>
      </c>
      <c r="H117" s="4" t="b">
        <f>사업장!Q117</f>
        <v>0</v>
      </c>
      <c r="I117" s="4" t="b">
        <f>사업장!R117</f>
        <v>0</v>
      </c>
    </row>
    <row r="118" spans="2:9" hidden="1" x14ac:dyDescent="0.4">
      <c r="B118" s="4" t="str">
        <f>사업장!B118</f>
        <v>W394</v>
      </c>
      <c r="C118" s="4" t="str">
        <f>사업장!C118</f>
        <v>(주)이랜드월드 패션 홈플러스 중계</v>
      </c>
      <c r="D118" s="4" t="str">
        <f>사업장!D118</f>
        <v>2068544243</v>
      </c>
      <c r="E118" s="16">
        <f>사업장!N118</f>
        <v>0</v>
      </c>
      <c r="F118" s="16">
        <f>사업장!O118</f>
        <v>0</v>
      </c>
      <c r="G118" s="16">
        <f>사업장!P118</f>
        <v>0</v>
      </c>
      <c r="H118" s="4" t="b">
        <f>사업장!Q118</f>
        <v>0</v>
      </c>
      <c r="I118" s="4" t="b">
        <f>사업장!R118</f>
        <v>0</v>
      </c>
    </row>
    <row r="119" spans="2:9" x14ac:dyDescent="0.4">
      <c r="B119" s="4" t="str">
        <f>사업장!B119</f>
        <v>W395</v>
      </c>
      <c r="C119" s="4" t="str">
        <f>사업장!C119</f>
        <v>(주)이랜드월드패션 제주칠성로점</v>
      </c>
      <c r="D119" s="4" t="str">
        <f>사업장!D119</f>
        <v>8448500810</v>
      </c>
      <c r="E119" s="16">
        <f>사업장!N119</f>
        <v>320</v>
      </c>
      <c r="F119" s="16">
        <f>사업장!O119</f>
        <v>32</v>
      </c>
      <c r="G119" s="16">
        <f>사업장!P119</f>
        <v>0</v>
      </c>
      <c r="H119" s="4" t="b">
        <f>사업장!Q119</f>
        <v>1</v>
      </c>
      <c r="I119" s="4" t="b">
        <f>사업장!R119</f>
        <v>0</v>
      </c>
    </row>
    <row r="120" spans="2:9" hidden="1" x14ac:dyDescent="0.4">
      <c r="B120" s="4" t="str">
        <f>사업장!B120</f>
        <v>W398</v>
      </c>
      <c r="C120" s="4" t="str">
        <f>사업장!C120</f>
        <v>(주)이랜드월드패션 홈플러스 계산</v>
      </c>
      <c r="D120" s="4" t="str">
        <f>사업장!D120</f>
        <v>3998500872</v>
      </c>
      <c r="E120" s="16">
        <f>사업장!N120</f>
        <v>0</v>
      </c>
      <c r="F120" s="16">
        <f>사업장!O120</f>
        <v>0</v>
      </c>
      <c r="G120" s="16">
        <f>사업장!P120</f>
        <v>0</v>
      </c>
      <c r="H120" s="4" t="b">
        <f>사업장!Q120</f>
        <v>0</v>
      </c>
      <c r="I120" s="4" t="b">
        <f>사업장!R120</f>
        <v>0</v>
      </c>
    </row>
    <row r="121" spans="2:9" x14ac:dyDescent="0.4">
      <c r="B121" s="4" t="str">
        <f>사업장!B121</f>
        <v>W399</v>
      </c>
      <c r="C121" s="4" t="str">
        <f>사업장!C121</f>
        <v>(주)이랜드월드패션 AK 홍대점</v>
      </c>
      <c r="D121" s="4" t="str">
        <f>사업장!D121</f>
        <v>8548500947</v>
      </c>
      <c r="E121" s="16">
        <f>사업장!N121</f>
        <v>18798040</v>
      </c>
      <c r="F121" s="16">
        <f>사업장!O121</f>
        <v>1879804</v>
      </c>
      <c r="G121" s="16">
        <f>사업장!P121</f>
        <v>0</v>
      </c>
      <c r="H121" s="4" t="b">
        <f>사업장!Q121</f>
        <v>1</v>
      </c>
      <c r="I121" s="4" t="b">
        <f>사업장!R121</f>
        <v>0</v>
      </c>
    </row>
    <row r="122" spans="2:9" hidden="1" x14ac:dyDescent="0.4">
      <c r="B122" s="4" t="str">
        <f>사업장!B122</f>
        <v>W400</v>
      </c>
      <c r="C122" s="4" t="str">
        <f>사업장!C122</f>
        <v>(주)이랜드월드 두타몰점</v>
      </c>
      <c r="D122" s="4" t="str">
        <f>사업장!D122</f>
        <v>3818500982</v>
      </c>
      <c r="E122" s="16">
        <f>사업장!N122</f>
        <v>0</v>
      </c>
      <c r="F122" s="16">
        <f>사업장!O122</f>
        <v>0</v>
      </c>
      <c r="G122" s="16">
        <f>사업장!P122</f>
        <v>0</v>
      </c>
      <c r="H122" s="4" t="b">
        <f>사업장!Q122</f>
        <v>0</v>
      </c>
      <c r="I122" s="4" t="b">
        <f>사업장!R122</f>
        <v>0</v>
      </c>
    </row>
    <row r="123" spans="2:9" x14ac:dyDescent="0.4">
      <c r="B123" s="4" t="str">
        <f>사업장!B123</f>
        <v>W401</v>
      </c>
      <c r="C123" s="4" t="str">
        <f>사업장!C123</f>
        <v>(주)이랜드월드패션제주중앙로</v>
      </c>
      <c r="D123" s="4" t="str">
        <f>사업장!D123</f>
        <v>8888501070</v>
      </c>
      <c r="E123" s="16">
        <f>사업장!N123</f>
        <v>28820653</v>
      </c>
      <c r="F123" s="16">
        <f>사업장!O123</f>
        <v>2882066</v>
      </c>
      <c r="G123" s="16">
        <f>사업장!P123</f>
        <v>0</v>
      </c>
      <c r="H123" s="4" t="b">
        <f>사업장!Q123</f>
        <v>1</v>
      </c>
      <c r="I123" s="4" t="b">
        <f>사업장!R123</f>
        <v>0</v>
      </c>
    </row>
    <row r="124" spans="2:9" hidden="1" x14ac:dyDescent="0.4">
      <c r="B124" s="4" t="str">
        <f>사업장!B124</f>
        <v>W402</v>
      </c>
      <c r="C124" s="4" t="str">
        <f>사업장!C124</f>
        <v>(주)이랜드월드패션 현대김포</v>
      </c>
      <c r="D124" s="4" t="str">
        <f>사업장!D124</f>
        <v>7418500826</v>
      </c>
      <c r="E124" s="16">
        <f>사업장!N124</f>
        <v>0</v>
      </c>
      <c r="F124" s="16">
        <f>사업장!O124</f>
        <v>0</v>
      </c>
      <c r="G124" s="16">
        <f>사업장!P124</f>
        <v>0</v>
      </c>
      <c r="H124" s="4" t="b">
        <f>사업장!Q124</f>
        <v>0</v>
      </c>
      <c r="I124" s="4" t="b">
        <f>사업장!R124</f>
        <v>0</v>
      </c>
    </row>
    <row r="125" spans="2:9" hidden="1" x14ac:dyDescent="0.4">
      <c r="B125" s="4" t="str">
        <f>사업장!B125</f>
        <v>W403</v>
      </c>
      <c r="C125" s="4" t="str">
        <f>사업장!C125</f>
        <v>(주)이랜드월드 동광주홈플러스점</v>
      </c>
      <c r="D125" s="4" t="str">
        <f>사업장!D125</f>
        <v>3568500841</v>
      </c>
      <c r="E125" s="16">
        <f>사업장!N125</f>
        <v>0</v>
      </c>
      <c r="F125" s="16">
        <f>사업장!O125</f>
        <v>0</v>
      </c>
      <c r="G125" s="16">
        <f>사업장!P125</f>
        <v>0</v>
      </c>
      <c r="H125" s="4" t="b">
        <f>사업장!Q125</f>
        <v>0</v>
      </c>
      <c r="I125" s="4" t="b">
        <f>사업장!R125</f>
        <v>0</v>
      </c>
    </row>
    <row r="126" spans="2:9" hidden="1" x14ac:dyDescent="0.4">
      <c r="B126" s="4" t="str">
        <f>사업장!B126</f>
        <v>W404</v>
      </c>
      <c r="C126" s="4" t="str">
        <f>사업장!C126</f>
        <v>(주)이랜드월드패션 홈플러스 시흥</v>
      </c>
      <c r="D126" s="4" t="str">
        <f>사업장!D126</f>
        <v>3418500913</v>
      </c>
      <c r="E126" s="16">
        <f>사업장!N126</f>
        <v>0</v>
      </c>
      <c r="F126" s="16">
        <f>사업장!O126</f>
        <v>0</v>
      </c>
      <c r="G126" s="16">
        <f>사업장!P126</f>
        <v>0</v>
      </c>
      <c r="H126" s="4" t="b">
        <f>사업장!Q126</f>
        <v>0</v>
      </c>
      <c r="I126" s="4" t="b">
        <f>사업장!R126</f>
        <v>0</v>
      </c>
    </row>
    <row r="127" spans="2:9" x14ac:dyDescent="0.4">
      <c r="B127" s="4" t="str">
        <f>사업장!B127</f>
        <v>W405</v>
      </c>
      <c r="C127" s="4" t="str">
        <f>사업장!C127</f>
        <v>㈜이랜드월드 폴더청주점</v>
      </c>
      <c r="D127" s="4" t="str">
        <f>사업장!D127</f>
        <v>7188500942</v>
      </c>
      <c r="E127" s="16">
        <f>사업장!N127</f>
        <v>1872872</v>
      </c>
      <c r="F127" s="16">
        <f>사업장!O127</f>
        <v>187287</v>
      </c>
      <c r="G127" s="16">
        <f>사업장!P127</f>
        <v>0</v>
      </c>
      <c r="H127" s="4" t="b">
        <f>사업장!Q127</f>
        <v>1</v>
      </c>
      <c r="I127" s="4" t="b">
        <f>사업장!R127</f>
        <v>0</v>
      </c>
    </row>
    <row r="128" spans="2:9" hidden="1" x14ac:dyDescent="0.4">
      <c r="B128" s="4" t="str">
        <f>사업장!B128</f>
        <v>W406</v>
      </c>
      <c r="C128" s="4" t="str">
        <f>사업장!C128</f>
        <v>(주)이랜드월드패션 홈플러스 청주점</v>
      </c>
      <c r="D128" s="4" t="str">
        <f>사업장!D128</f>
        <v>4118522458</v>
      </c>
      <c r="E128" s="16">
        <f>사업장!N128</f>
        <v>0</v>
      </c>
      <c r="F128" s="16">
        <f>사업장!O128</f>
        <v>0</v>
      </c>
      <c r="G128" s="16">
        <f>사업장!P128</f>
        <v>0</v>
      </c>
      <c r="H128" s="4" t="b">
        <f>사업장!Q128</f>
        <v>0</v>
      </c>
      <c r="I128" s="4" t="b">
        <f>사업장!R128</f>
        <v>0</v>
      </c>
    </row>
    <row r="129" spans="2:9" hidden="1" x14ac:dyDescent="0.4">
      <c r="B129" s="4" t="str">
        <f>사업장!B129</f>
        <v>W407</v>
      </c>
      <c r="C129" s="4" t="str">
        <f>사업장!C129</f>
        <v>(주)이랜드월드 홈플러스 가야점</v>
      </c>
      <c r="D129" s="4" t="str">
        <f>사업장!D129</f>
        <v>5358500992</v>
      </c>
      <c r="E129" s="16">
        <f>사업장!N129</f>
        <v>0</v>
      </c>
      <c r="F129" s="16">
        <f>사업장!O129</f>
        <v>0</v>
      </c>
      <c r="G129" s="16">
        <f>사업장!P129</f>
        <v>0</v>
      </c>
      <c r="H129" s="4" t="b">
        <f>사업장!Q129</f>
        <v>0</v>
      </c>
      <c r="I129" s="4" t="b">
        <f>사업장!R129</f>
        <v>0</v>
      </c>
    </row>
    <row r="130" spans="2:9" x14ac:dyDescent="0.4">
      <c r="B130" s="4" t="str">
        <f>사업장!B130</f>
        <v>W408</v>
      </c>
      <c r="C130" s="4" t="str">
        <f>사업장!C130</f>
        <v>(주)이랜드월드패션 용인블루키</v>
      </c>
      <c r="D130" s="4" t="str">
        <f>사업장!D130</f>
        <v>2928500926</v>
      </c>
      <c r="E130" s="16">
        <f>사업장!N130</f>
        <v>23857072</v>
      </c>
      <c r="F130" s="16">
        <f>사업장!O130</f>
        <v>2385707</v>
      </c>
      <c r="G130" s="16">
        <f>사업장!P130</f>
        <v>0</v>
      </c>
      <c r="H130" s="4" t="b">
        <f>사업장!Q130</f>
        <v>1</v>
      </c>
      <c r="I130" s="4" t="b">
        <f>사업장!R130</f>
        <v>0</v>
      </c>
    </row>
    <row r="131" spans="2:9" x14ac:dyDescent="0.4">
      <c r="B131" s="4" t="str">
        <f>사업장!B131</f>
        <v>W409</v>
      </c>
      <c r="C131" s="4" t="str">
        <f>사업장!C131</f>
        <v>(주)이랜드월드패션 폴더광복2호점</v>
      </c>
      <c r="D131" s="4" t="str">
        <f>사업장!D131</f>
        <v>2918501072</v>
      </c>
      <c r="E131" s="16">
        <f>사업장!N131</f>
        <v>1292361</v>
      </c>
      <c r="F131" s="16">
        <f>사업장!O131</f>
        <v>129235</v>
      </c>
      <c r="G131" s="16">
        <f>사업장!P131</f>
        <v>0</v>
      </c>
      <c r="H131" s="4" t="b">
        <f>사업장!Q131</f>
        <v>1</v>
      </c>
      <c r="I131" s="4" t="b">
        <f>사업장!R131</f>
        <v>0</v>
      </c>
    </row>
    <row r="132" spans="2:9" hidden="1" x14ac:dyDescent="0.4">
      <c r="B132" s="4" t="str">
        <f>사업장!B132</f>
        <v>W410</v>
      </c>
      <c r="C132" s="4" t="str">
        <f>사업장!C132</f>
        <v>(주)이랜드월드패션 홈플러스 전주효자점</v>
      </c>
      <c r="D132" s="4" t="str">
        <f>사업장!D132</f>
        <v>4328500844</v>
      </c>
      <c r="E132" s="16">
        <f>사업장!N132</f>
        <v>0</v>
      </c>
      <c r="F132" s="16">
        <f>사업장!O132</f>
        <v>0</v>
      </c>
      <c r="G132" s="16">
        <f>사업장!P132</f>
        <v>0</v>
      </c>
      <c r="H132" s="4" t="b">
        <f>사업장!Q132</f>
        <v>0</v>
      </c>
      <c r="I132" s="4" t="b">
        <f>사업장!R132</f>
        <v>0</v>
      </c>
    </row>
    <row r="133" spans="2:9" hidden="1" x14ac:dyDescent="0.4">
      <c r="B133" s="4" t="str">
        <f>사업장!B133</f>
        <v>W411</v>
      </c>
      <c r="C133" s="4" t="str">
        <f>사업장!C133</f>
        <v>(주)이랜드월드 청주지웰시티몰</v>
      </c>
      <c r="D133" s="4" t="str">
        <f>사업장!D133</f>
        <v>7768500953</v>
      </c>
      <c r="E133" s="16">
        <f>사업장!N133</f>
        <v>0</v>
      </c>
      <c r="F133" s="16">
        <f>사업장!O133</f>
        <v>0</v>
      </c>
      <c r="G133" s="16">
        <f>사업장!P133</f>
        <v>0</v>
      </c>
      <c r="H133" s="4" t="b">
        <f>사업장!Q133</f>
        <v>0</v>
      </c>
      <c r="I133" s="4" t="b">
        <f>사업장!R133</f>
        <v>0</v>
      </c>
    </row>
    <row r="134" spans="2:9" x14ac:dyDescent="0.4">
      <c r="B134" s="4" t="str">
        <f>사업장!B134</f>
        <v>W412</v>
      </c>
      <c r="C134" s="4" t="str">
        <f>사업장!C134</f>
        <v>(주)이랜드월드패션 기흥 AK</v>
      </c>
      <c r="D134" s="4" t="str">
        <f>사업장!D134</f>
        <v>5128507181</v>
      </c>
      <c r="E134" s="16">
        <f>사업장!N134</f>
        <v>26042527</v>
      </c>
      <c r="F134" s="16">
        <f>사업장!O134</f>
        <v>2604252</v>
      </c>
      <c r="G134" s="16">
        <f>사업장!P134</f>
        <v>0</v>
      </c>
      <c r="H134" s="4" t="b">
        <f>사업장!Q134</f>
        <v>1</v>
      </c>
      <c r="I134" s="4" t="b">
        <f>사업장!R134</f>
        <v>0</v>
      </c>
    </row>
    <row r="135" spans="2:9" hidden="1" x14ac:dyDescent="0.4">
      <c r="B135" s="4" t="str">
        <f>사업장!B135</f>
        <v>W413</v>
      </c>
      <c r="C135" s="4" t="str">
        <f>사업장!C135</f>
        <v>㈜이랜드월드패션 롯데기흥</v>
      </c>
      <c r="D135" s="4" t="str">
        <f>사업장!D135</f>
        <v>7488500846</v>
      </c>
      <c r="E135" s="16">
        <f>사업장!N135</f>
        <v>0</v>
      </c>
      <c r="F135" s="16">
        <f>사업장!O135</f>
        <v>0</v>
      </c>
      <c r="G135" s="16">
        <f>사업장!P135</f>
        <v>0</v>
      </c>
      <c r="H135" s="4" t="b">
        <f>사업장!Q135</f>
        <v>0</v>
      </c>
      <c r="I135" s="4" t="b">
        <f>사업장!R135</f>
        <v>0</v>
      </c>
    </row>
    <row r="136" spans="2:9" hidden="1" x14ac:dyDescent="0.4">
      <c r="B136" s="4" t="str">
        <f>사업장!B136</f>
        <v>W416</v>
      </c>
      <c r="C136" s="4" t="str">
        <f>사업장!C136</f>
        <v>(주)이랜드 월드 패션 세종 AK</v>
      </c>
      <c r="D136" s="4" t="str">
        <f>사업장!D136</f>
        <v>3348500929</v>
      </c>
      <c r="E136" s="16">
        <f>사업장!N136</f>
        <v>0</v>
      </c>
      <c r="F136" s="16">
        <f>사업장!O136</f>
        <v>0</v>
      </c>
      <c r="G136" s="16">
        <f>사업장!P136</f>
        <v>0</v>
      </c>
      <c r="H136" s="4" t="b">
        <f>사업장!Q136</f>
        <v>0</v>
      </c>
      <c r="I136" s="4" t="b">
        <f>사업장!R136</f>
        <v>0</v>
      </c>
    </row>
    <row r="137" spans="2:9" hidden="1" x14ac:dyDescent="0.4">
      <c r="B137" s="4" t="str">
        <f>사업장!B137</f>
        <v>W417</v>
      </c>
      <c r="C137" s="4" t="str">
        <f>사업장!C137</f>
        <v>㈜이랜드월드 폴더 충주점</v>
      </c>
      <c r="D137" s="4" t="str">
        <f>사업장!D137</f>
        <v>3418500984</v>
      </c>
      <c r="E137" s="16">
        <f>사업장!N137</f>
        <v>0</v>
      </c>
      <c r="F137" s="16">
        <f>사업장!O137</f>
        <v>0</v>
      </c>
      <c r="G137" s="16">
        <f>사업장!P137</f>
        <v>0</v>
      </c>
      <c r="H137" s="4" t="b">
        <f>사업장!Q137</f>
        <v>0</v>
      </c>
      <c r="I137" s="4" t="b">
        <f>사업장!R137</f>
        <v>0</v>
      </c>
    </row>
    <row r="138" spans="2:9" hidden="1" x14ac:dyDescent="0.4">
      <c r="B138" s="4" t="str">
        <f>사업장!B138</f>
        <v>W418</v>
      </c>
      <c r="C138" s="4" t="str">
        <f>사업장!C138</f>
        <v>(주) 이랜드월드 홈플러스 대전문화점</v>
      </c>
      <c r="D138" s="4" t="str">
        <f>사업장!D138</f>
        <v>2038535371</v>
      </c>
      <c r="E138" s="16">
        <f>사업장!N138</f>
        <v>0</v>
      </c>
      <c r="F138" s="16">
        <f>사업장!O138</f>
        <v>0</v>
      </c>
      <c r="G138" s="16">
        <f>사업장!P138</f>
        <v>0</v>
      </c>
      <c r="H138" s="4" t="b">
        <f>사업장!Q138</f>
        <v>0</v>
      </c>
      <c r="I138" s="4" t="b">
        <f>사업장!R138</f>
        <v>0</v>
      </c>
    </row>
    <row r="139" spans="2:9" hidden="1" x14ac:dyDescent="0.4">
      <c r="B139" s="4" t="str">
        <f>사업장!B139</f>
        <v>W419</v>
      </c>
      <c r="C139" s="4" t="str">
        <f>사업장!C139</f>
        <v>(주) 이랜드월드 패션사업부 폴더안산점</v>
      </c>
      <c r="D139" s="4" t="str">
        <f>사업장!D139</f>
        <v>6428501149</v>
      </c>
      <c r="E139" s="16">
        <f>사업장!N139</f>
        <v>0</v>
      </c>
      <c r="F139" s="16">
        <f>사업장!O139</f>
        <v>0</v>
      </c>
      <c r="G139" s="16">
        <f>사업장!P139</f>
        <v>0</v>
      </c>
      <c r="H139" s="4" t="b">
        <f>사업장!Q139</f>
        <v>0</v>
      </c>
      <c r="I139" s="4" t="b">
        <f>사업장!R139</f>
        <v>0</v>
      </c>
    </row>
    <row r="140" spans="2:9" hidden="1" x14ac:dyDescent="0.4">
      <c r="B140" s="4" t="str">
        <f>사업장!B140</f>
        <v>W420</v>
      </c>
      <c r="C140" s="4" t="str">
        <f>사업장!C140</f>
        <v>(주)이랜드월드패션 홈플러스 부천상동점</v>
      </c>
      <c r="D140" s="4" t="str">
        <f>사업장!D140</f>
        <v>1078556063</v>
      </c>
      <c r="E140" s="16">
        <f>사업장!N140</f>
        <v>0</v>
      </c>
      <c r="F140" s="16">
        <f>사업장!O140</f>
        <v>0</v>
      </c>
      <c r="G140" s="16">
        <f>사업장!P140</f>
        <v>0</v>
      </c>
      <c r="H140" s="4" t="b">
        <f>사업장!Q140</f>
        <v>0</v>
      </c>
      <c r="I140" s="4" t="b">
        <f>사업장!R140</f>
        <v>0</v>
      </c>
    </row>
    <row r="141" spans="2:9" hidden="1" x14ac:dyDescent="0.4">
      <c r="B141" s="4" t="str">
        <f>사업장!B141</f>
        <v>W421</v>
      </c>
      <c r="C141" s="4" t="str">
        <f>사업장!C141</f>
        <v>(주)이랜드월드 스파오 수원망포</v>
      </c>
      <c r="D141" s="4" t="str">
        <f>사업장!D141</f>
        <v>5618501307</v>
      </c>
      <c r="E141" s="16">
        <f>사업장!N141</f>
        <v>0</v>
      </c>
      <c r="F141" s="16">
        <f>사업장!O141</f>
        <v>0</v>
      </c>
      <c r="G141" s="16">
        <f>사업장!P141</f>
        <v>0</v>
      </c>
      <c r="H141" s="4" t="b">
        <f>사업장!Q141</f>
        <v>0</v>
      </c>
      <c r="I141" s="4" t="b">
        <f>사업장!R141</f>
        <v>0</v>
      </c>
    </row>
    <row r="142" spans="2:9" hidden="1" x14ac:dyDescent="0.4">
      <c r="B142" s="4" t="str">
        <f>사업장!B142</f>
        <v>W422</v>
      </c>
      <c r="C142" s="4" t="str">
        <f>사업장!C142</f>
        <v>(주)이랜드월드 울산성남</v>
      </c>
      <c r="D142" s="4" t="str">
        <f>사업장!D142</f>
        <v>4488501154</v>
      </c>
      <c r="E142" s="16">
        <f>사업장!N142</f>
        <v>0</v>
      </c>
      <c r="F142" s="16">
        <f>사업장!O142</f>
        <v>0</v>
      </c>
      <c r="G142" s="16">
        <f>사업장!P142</f>
        <v>0</v>
      </c>
      <c r="H142" s="4" t="b">
        <f>사업장!Q142</f>
        <v>0</v>
      </c>
      <c r="I142" s="4" t="b">
        <f>사업장!R142</f>
        <v>0</v>
      </c>
    </row>
    <row r="143" spans="2:9" hidden="1" x14ac:dyDescent="0.4">
      <c r="B143" s="4" t="str">
        <f>사업장!B143</f>
        <v>W423</v>
      </c>
      <c r="C143" s="4" t="str">
        <f>사업장!C143</f>
        <v>(주)이랜드월드 홈플러스 작전점</v>
      </c>
      <c r="D143" s="4" t="str">
        <f>사업장!D143</f>
        <v>8188501071</v>
      </c>
      <c r="E143" s="16">
        <f>사업장!N143</f>
        <v>0</v>
      </c>
      <c r="F143" s="16">
        <f>사업장!O143</f>
        <v>0</v>
      </c>
      <c r="G143" s="16">
        <f>사업장!P143</f>
        <v>0</v>
      </c>
      <c r="H143" s="4" t="b">
        <f>사업장!Q143</f>
        <v>0</v>
      </c>
      <c r="I143" s="4" t="b">
        <f>사업장!R143</f>
        <v>0</v>
      </c>
    </row>
    <row r="144" spans="2:9" hidden="1" x14ac:dyDescent="0.4">
      <c r="B144" s="4" t="str">
        <f>사업장!B144</f>
        <v>W424</v>
      </c>
      <c r="C144" s="4" t="str">
        <f>사업장!C144</f>
        <v>(주)이랜드월드 홈플러스 김포풍무점</v>
      </c>
      <c r="D144" s="4" t="str">
        <f>사업장!D144</f>
        <v>6498501005</v>
      </c>
      <c r="E144" s="16">
        <f>사업장!N144</f>
        <v>0</v>
      </c>
      <c r="F144" s="16">
        <f>사업장!O144</f>
        <v>0</v>
      </c>
      <c r="G144" s="16">
        <f>사업장!P144</f>
        <v>0</v>
      </c>
      <c r="H144" s="4" t="b">
        <f>사업장!Q144</f>
        <v>0</v>
      </c>
      <c r="I144" s="4" t="b">
        <f>사업장!R144</f>
        <v>0</v>
      </c>
    </row>
    <row r="145" spans="2:9" hidden="1" x14ac:dyDescent="0.4">
      <c r="B145" s="4" t="str">
        <f>사업장!B145</f>
        <v>W425</v>
      </c>
      <c r="C145" s="4" t="str">
        <f>사업장!C145</f>
        <v>(주)이랜드월드패션 홍대EXIT</v>
      </c>
      <c r="D145" s="4" t="str">
        <f>사업장!D145</f>
        <v>2468501198</v>
      </c>
      <c r="E145" s="16">
        <f>사업장!N145</f>
        <v>0</v>
      </c>
      <c r="F145" s="16">
        <f>사업장!O145</f>
        <v>0</v>
      </c>
      <c r="G145" s="16">
        <f>사업장!P145</f>
        <v>0</v>
      </c>
      <c r="H145" s="4" t="b">
        <f>사업장!Q145</f>
        <v>0</v>
      </c>
      <c r="I145" s="4" t="b">
        <f>사업장!R145</f>
        <v>0</v>
      </c>
    </row>
    <row r="146" spans="2:9" hidden="1" x14ac:dyDescent="0.4">
      <c r="B146" s="4" t="str">
        <f>사업장!B146</f>
        <v>W426</v>
      </c>
      <c r="C146" s="4" t="str">
        <f>사업장!C146</f>
        <v>(주)이랜드월드 롯데몰 수지</v>
      </c>
      <c r="D146" s="4" t="str">
        <f>사업장!D146</f>
        <v>6418501108</v>
      </c>
      <c r="E146" s="16">
        <f>사업장!N146</f>
        <v>0</v>
      </c>
      <c r="F146" s="16">
        <f>사업장!O146</f>
        <v>0</v>
      </c>
      <c r="G146" s="16">
        <f>사업장!P146</f>
        <v>0</v>
      </c>
      <c r="H146" s="4" t="b">
        <f>사업장!Q146</f>
        <v>0</v>
      </c>
      <c r="I146" s="4" t="b">
        <f>사업장!R146</f>
        <v>0</v>
      </c>
    </row>
    <row r="147" spans="2:9" hidden="1" x14ac:dyDescent="0.4">
      <c r="B147" s="4" t="str">
        <f>사업장!B147</f>
        <v>W427</v>
      </c>
      <c r="C147" s="4" t="str">
        <f>사업장!C147</f>
        <v>(주)이랜드월드 폴더 경주점</v>
      </c>
      <c r="D147" s="4" t="str">
        <f>사업장!D147</f>
        <v>4398501179</v>
      </c>
      <c r="E147" s="16">
        <f>사업장!N147</f>
        <v>0</v>
      </c>
      <c r="F147" s="16">
        <f>사업장!O147</f>
        <v>0</v>
      </c>
      <c r="G147" s="16">
        <f>사업장!P147</f>
        <v>0</v>
      </c>
      <c r="H147" s="4" t="b">
        <f>사업장!Q147</f>
        <v>0</v>
      </c>
      <c r="I147" s="4" t="b">
        <f>사업장!R147</f>
        <v>0</v>
      </c>
    </row>
    <row r="148" spans="2:9" x14ac:dyDescent="0.4">
      <c r="B148" s="4" t="str">
        <f>사업장!B148</f>
        <v>W428</v>
      </c>
      <c r="C148" s="4" t="str">
        <f>사업장!C148</f>
        <v>(주)이랜드월드 패션 스타필드 부천</v>
      </c>
      <c r="D148" s="4" t="str">
        <f>사업장!D148</f>
        <v>3058544405</v>
      </c>
      <c r="E148" s="16">
        <f>사업장!N148</f>
        <v>78583222</v>
      </c>
      <c r="F148" s="16">
        <f>사업장!O148</f>
        <v>7858324</v>
      </c>
      <c r="G148" s="16">
        <f>사업장!P148</f>
        <v>0</v>
      </c>
      <c r="H148" s="4" t="b">
        <f>사업장!Q148</f>
        <v>1</v>
      </c>
      <c r="I148" s="4" t="b">
        <f>사업장!R148</f>
        <v>0</v>
      </c>
    </row>
    <row r="149" spans="2:9" hidden="1" x14ac:dyDescent="0.4">
      <c r="B149" s="4" t="str">
        <f>사업장!B149</f>
        <v>W429</v>
      </c>
      <c r="C149" s="4" t="str">
        <f>사업장!C149</f>
        <v>(주)이랜드월드 동성로삼덕</v>
      </c>
      <c r="D149" s="4" t="str">
        <f>사업장!D149</f>
        <v>3038529897</v>
      </c>
      <c r="E149" s="16">
        <f>사업장!N149</f>
        <v>0</v>
      </c>
      <c r="F149" s="16">
        <f>사업장!O149</f>
        <v>0</v>
      </c>
      <c r="G149" s="16">
        <f>사업장!P149</f>
        <v>0</v>
      </c>
      <c r="H149" s="4" t="b">
        <f>사업장!Q149</f>
        <v>0</v>
      </c>
      <c r="I149" s="4" t="b">
        <f>사업장!R149</f>
        <v>0</v>
      </c>
    </row>
    <row r="150" spans="2:9" hidden="1" x14ac:dyDescent="0.4">
      <c r="B150" s="4" t="str">
        <f>사업장!B150</f>
        <v>W430</v>
      </c>
      <c r="C150" s="4" t="str">
        <f>사업장!C150</f>
        <v>(주)이랜드월드패션 용인역북</v>
      </c>
      <c r="D150" s="4" t="str">
        <f>사업장!D150</f>
        <v>4748501264</v>
      </c>
      <c r="E150" s="16">
        <f>사업장!N150</f>
        <v>0</v>
      </c>
      <c r="F150" s="16">
        <f>사업장!O150</f>
        <v>0</v>
      </c>
      <c r="G150" s="16">
        <f>사업장!P150</f>
        <v>0</v>
      </c>
      <c r="H150" s="4" t="b">
        <f>사업장!Q150</f>
        <v>0</v>
      </c>
      <c r="I150" s="4" t="b">
        <f>사업장!R150</f>
        <v>0</v>
      </c>
    </row>
    <row r="151" spans="2:9" x14ac:dyDescent="0.4">
      <c r="B151" s="4" t="str">
        <f>사업장!B151</f>
        <v>W431</v>
      </c>
      <c r="C151" s="4" t="str">
        <f>사업장!C151</f>
        <v>(주)이랜드월드 폴더 신촌점</v>
      </c>
      <c r="D151" s="4" t="str">
        <f>사업장!D151</f>
        <v>5228501243</v>
      </c>
      <c r="E151" s="16">
        <f>사업장!N151</f>
        <v>784</v>
      </c>
      <c r="F151" s="16">
        <f>사업장!O151</f>
        <v>78</v>
      </c>
      <c r="G151" s="16">
        <f>사업장!P151</f>
        <v>0</v>
      </c>
      <c r="H151" s="4" t="b">
        <f>사업장!Q151</f>
        <v>1</v>
      </c>
      <c r="I151" s="4" t="b">
        <f>사업장!R151</f>
        <v>0</v>
      </c>
    </row>
    <row r="152" spans="2:9" hidden="1" x14ac:dyDescent="0.4">
      <c r="B152" s="4" t="str">
        <f>사업장!B152</f>
        <v>W432</v>
      </c>
      <c r="C152" s="4" t="str">
        <f>사업장!C152</f>
        <v>(주)이랜드월드 폴더 부천점</v>
      </c>
      <c r="D152" s="4" t="str">
        <f>사업장!D152</f>
        <v>5298501185</v>
      </c>
      <c r="E152" s="16">
        <f>사업장!N152</f>
        <v>0</v>
      </c>
      <c r="F152" s="16">
        <f>사업장!O152</f>
        <v>0</v>
      </c>
      <c r="G152" s="16">
        <f>사업장!P152</f>
        <v>0</v>
      </c>
      <c r="H152" s="4" t="b">
        <f>사업장!Q152</f>
        <v>0</v>
      </c>
      <c r="I152" s="4" t="b">
        <f>사업장!R152</f>
        <v>0</v>
      </c>
    </row>
    <row r="153" spans="2:9" hidden="1" x14ac:dyDescent="0.4">
      <c r="B153" s="4" t="str">
        <f>사업장!B153</f>
        <v>W433</v>
      </c>
      <c r="C153" s="4" t="str">
        <f>사업장!C153</f>
        <v>(주)이랜드월드 홈플러스 강릉점</v>
      </c>
      <c r="D153" s="4" t="str">
        <f>사업장!D153</f>
        <v>8108501285</v>
      </c>
      <c r="E153" s="16">
        <f>사업장!N153</f>
        <v>0</v>
      </c>
      <c r="F153" s="16">
        <f>사업장!O153</f>
        <v>0</v>
      </c>
      <c r="G153" s="16">
        <f>사업장!P153</f>
        <v>0</v>
      </c>
      <c r="H153" s="4" t="b">
        <f>사업장!Q153</f>
        <v>0</v>
      </c>
      <c r="I153" s="4" t="b">
        <f>사업장!R153</f>
        <v>0</v>
      </c>
    </row>
    <row r="154" spans="2:9" hidden="1" x14ac:dyDescent="0.4">
      <c r="B154" s="4" t="str">
        <f>사업장!B154</f>
        <v>W434</v>
      </c>
      <c r="C154" s="4" t="str">
        <f>사업장!C154</f>
        <v>(주)이랜드월드 아리아청주</v>
      </c>
      <c r="D154" s="4" t="str">
        <f>사업장!D154</f>
        <v>5798501157</v>
      </c>
      <c r="E154" s="16">
        <f>사업장!N154</f>
        <v>0</v>
      </c>
      <c r="F154" s="16">
        <f>사업장!O154</f>
        <v>0</v>
      </c>
      <c r="G154" s="16">
        <f>사업장!P154</f>
        <v>0</v>
      </c>
      <c r="H154" s="4" t="b">
        <f>사업장!Q154</f>
        <v>0</v>
      </c>
      <c r="I154" s="4" t="b">
        <f>사업장!R154</f>
        <v>0</v>
      </c>
    </row>
    <row r="155" spans="2:9" x14ac:dyDescent="0.4">
      <c r="B155" s="4" t="str">
        <f>사업장!B155</f>
        <v>W435</v>
      </c>
      <c r="C155" s="4" t="str">
        <f>사업장!C155</f>
        <v>(주)이랜드월드 마크원 세종</v>
      </c>
      <c r="D155" s="4" t="str">
        <f>사업장!D155</f>
        <v>7188501276</v>
      </c>
      <c r="E155" s="16">
        <f>사업장!N155</f>
        <v>930529</v>
      </c>
      <c r="F155" s="16">
        <f>사업장!O155</f>
        <v>93052</v>
      </c>
      <c r="G155" s="16">
        <f>사업장!P155</f>
        <v>0</v>
      </c>
      <c r="H155" s="4" t="b">
        <f>사업장!Q155</f>
        <v>1</v>
      </c>
      <c r="I155" s="4" t="b">
        <f>사업장!R155</f>
        <v>0</v>
      </c>
    </row>
    <row r="156" spans="2:9" x14ac:dyDescent="0.4">
      <c r="B156" s="4" t="str">
        <f>사업장!B156</f>
        <v>W436</v>
      </c>
      <c r="C156" s="4" t="str">
        <f>사업장!C156</f>
        <v>(주)이랜드월드 문화로구미</v>
      </c>
      <c r="D156" s="4" t="str">
        <f>사업장!D156</f>
        <v>6698501523</v>
      </c>
      <c r="E156" s="16">
        <f>사업장!N156</f>
        <v>46417073</v>
      </c>
      <c r="F156" s="16">
        <f>사업장!O156</f>
        <v>4641708</v>
      </c>
      <c r="G156" s="16">
        <f>사업장!P156</f>
        <v>0</v>
      </c>
      <c r="H156" s="4" t="b">
        <f>사업장!Q156</f>
        <v>1</v>
      </c>
      <c r="I156" s="4" t="b">
        <f>사업장!R156</f>
        <v>0</v>
      </c>
    </row>
    <row r="157" spans="2:9" hidden="1" x14ac:dyDescent="0.4">
      <c r="B157" s="4" t="str">
        <f>사업장!B157</f>
        <v>W437</v>
      </c>
      <c r="C157" s="4" t="str">
        <f>사업장!C157</f>
        <v>(주)이랜드월드폴더 경성대점</v>
      </c>
      <c r="D157" s="4" t="str">
        <f>사업장!D157</f>
        <v>7158501132</v>
      </c>
      <c r="E157" s="16">
        <f>사업장!N157</f>
        <v>0</v>
      </c>
      <c r="F157" s="16">
        <f>사업장!O157</f>
        <v>0</v>
      </c>
      <c r="G157" s="16">
        <f>사업장!P157</f>
        <v>0</v>
      </c>
      <c r="H157" s="4" t="b">
        <f>사업장!Q157</f>
        <v>0</v>
      </c>
      <c r="I157" s="4" t="b">
        <f>사업장!R157</f>
        <v>0</v>
      </c>
    </row>
    <row r="158" spans="2:9" hidden="1" x14ac:dyDescent="0.4">
      <c r="B158" s="4" t="str">
        <f>사업장!B158</f>
        <v>W438</v>
      </c>
      <c r="C158" s="4" t="str">
        <f>사업장!C158</f>
        <v>(주)이랜드월드 롯데관악점</v>
      </c>
      <c r="D158" s="4" t="str">
        <f>사업장!D158</f>
        <v>5298501230</v>
      </c>
      <c r="E158" s="16">
        <f>사업장!N158</f>
        <v>0</v>
      </c>
      <c r="F158" s="16">
        <f>사업장!O158</f>
        <v>0</v>
      </c>
      <c r="G158" s="16">
        <f>사업장!P158</f>
        <v>0</v>
      </c>
      <c r="H158" s="4" t="b">
        <f>사업장!Q158</f>
        <v>0</v>
      </c>
      <c r="I158" s="4" t="b">
        <f>사업장!R158</f>
        <v>0</v>
      </c>
    </row>
    <row r="159" spans="2:9" hidden="1" x14ac:dyDescent="0.4">
      <c r="B159" s="4" t="str">
        <f>사업장!B159</f>
        <v>W439</v>
      </c>
      <c r="C159" s="4" t="str">
        <f>사업장!C159</f>
        <v>(주)이랜드월드패션 부산대역</v>
      </c>
      <c r="D159" s="4" t="str">
        <f>사업장!D159</f>
        <v>6598501093</v>
      </c>
      <c r="E159" s="16">
        <f>사업장!N159</f>
        <v>0</v>
      </c>
      <c r="F159" s="16">
        <f>사업장!O159</f>
        <v>0</v>
      </c>
      <c r="G159" s="16">
        <f>사업장!P159</f>
        <v>0</v>
      </c>
      <c r="H159" s="4" t="b">
        <f>사업장!Q159</f>
        <v>0</v>
      </c>
      <c r="I159" s="4" t="b">
        <f>사업장!R159</f>
        <v>0</v>
      </c>
    </row>
    <row r="160" spans="2:9" x14ac:dyDescent="0.4">
      <c r="B160" s="4" t="str">
        <f>사업장!B160</f>
        <v>W440</v>
      </c>
      <c r="C160" s="4" t="str">
        <f>사업장!C160</f>
        <v>(주)이랜드월드패션 강릉포남점</v>
      </c>
      <c r="D160" s="4" t="str">
        <f>사업장!D160</f>
        <v>1998501422</v>
      </c>
      <c r="E160" s="16">
        <f>사업장!N160</f>
        <v>1580699</v>
      </c>
      <c r="F160" s="16">
        <f>사업장!O160</f>
        <v>158070</v>
      </c>
      <c r="G160" s="16">
        <f>사업장!P160</f>
        <v>0</v>
      </c>
      <c r="H160" s="4" t="b">
        <f>사업장!Q160</f>
        <v>1</v>
      </c>
      <c r="I160" s="4" t="b">
        <f>사업장!R160</f>
        <v>0</v>
      </c>
    </row>
    <row r="161" spans="2:9" hidden="1" x14ac:dyDescent="0.4">
      <c r="B161" s="4" t="str">
        <f>사업장!B161</f>
        <v>W441</v>
      </c>
      <c r="C161" s="4" t="str">
        <f>사업장!C161</f>
        <v>(주)이랜드월드 문화사업부</v>
      </c>
      <c r="D161" s="4" t="str">
        <f>사업장!D161</f>
        <v>2268533264</v>
      </c>
      <c r="E161" s="16">
        <f>사업장!N161</f>
        <v>0</v>
      </c>
      <c r="F161" s="16">
        <f>사업장!O161</f>
        <v>0</v>
      </c>
      <c r="G161" s="16">
        <f>사업장!P161</f>
        <v>0</v>
      </c>
      <c r="H161" s="4" t="b">
        <f>사업장!Q161</f>
        <v>0</v>
      </c>
      <c r="I161" s="4" t="b">
        <f>사업장!R161</f>
        <v>0</v>
      </c>
    </row>
    <row r="162" spans="2:9" hidden="1" x14ac:dyDescent="0.4">
      <c r="B162" s="4" t="str">
        <f>사업장!B162</f>
        <v>W442</v>
      </c>
      <c r="C162" s="4" t="str">
        <f>사업장!C162</f>
        <v>(주)이랜드월드패션 메세나폴리스</v>
      </c>
      <c r="D162" s="4" t="str">
        <f>사업장!D162</f>
        <v>6388501311</v>
      </c>
      <c r="E162" s="16">
        <f>사업장!N162</f>
        <v>0</v>
      </c>
      <c r="F162" s="16">
        <f>사업장!O162</f>
        <v>0</v>
      </c>
      <c r="G162" s="16">
        <f>사업장!P162</f>
        <v>0</v>
      </c>
      <c r="H162" s="4" t="b">
        <f>사업장!Q162</f>
        <v>0</v>
      </c>
      <c r="I162" s="4" t="b">
        <f>사업장!R162</f>
        <v>0</v>
      </c>
    </row>
    <row r="163" spans="2:9" hidden="1" x14ac:dyDescent="0.4">
      <c r="B163" s="4" t="str">
        <f>사업장!B163</f>
        <v>W443</v>
      </c>
      <c r="C163" s="4" t="str">
        <f>사업장!C163</f>
        <v>(주)이랜드월드 세이탄방</v>
      </c>
      <c r="D163" s="4" t="str">
        <f>사업장!D163</f>
        <v>3548501261</v>
      </c>
      <c r="E163" s="16">
        <f>사업장!N163</f>
        <v>0</v>
      </c>
      <c r="F163" s="16">
        <f>사업장!O163</f>
        <v>0</v>
      </c>
      <c r="G163" s="16">
        <f>사업장!P163</f>
        <v>0</v>
      </c>
      <c r="H163" s="4" t="b">
        <f>사업장!Q163</f>
        <v>0</v>
      </c>
      <c r="I163" s="4" t="b">
        <f>사업장!R163</f>
        <v>0</v>
      </c>
    </row>
    <row r="164" spans="2:9" x14ac:dyDescent="0.4">
      <c r="B164" s="4" t="str">
        <f>사업장!B164</f>
        <v>W444</v>
      </c>
      <c r="C164" s="4" t="str">
        <f>사업장!C164</f>
        <v>(주)이랜드월드 안녕인사동</v>
      </c>
      <c r="D164" s="4" t="str">
        <f>사업장!D164</f>
        <v>2718501419</v>
      </c>
      <c r="E164" s="16">
        <f>사업장!N164</f>
        <v>9995175</v>
      </c>
      <c r="F164" s="16">
        <f>사업장!O164</f>
        <v>999518</v>
      </c>
      <c r="G164" s="16">
        <f>사업장!P164</f>
        <v>20720</v>
      </c>
      <c r="H164" s="4" t="b">
        <f>사업장!Q164</f>
        <v>1</v>
      </c>
      <c r="I164" s="4" t="b">
        <f>사업장!R164</f>
        <v>1</v>
      </c>
    </row>
    <row r="165" spans="2:9" hidden="1" x14ac:dyDescent="0.4">
      <c r="B165" s="4" t="str">
        <f>사업장!B165</f>
        <v>W445</v>
      </c>
      <c r="C165" s="4" t="str">
        <f>사업장!C165</f>
        <v>(주)이랜드월드 동탄 레이크꼬모</v>
      </c>
      <c r="D165" s="4" t="str">
        <f>사업장!D165</f>
        <v>1788501293</v>
      </c>
      <c r="E165" s="16">
        <f>사업장!N165</f>
        <v>0</v>
      </c>
      <c r="F165" s="16">
        <f>사업장!O165</f>
        <v>0</v>
      </c>
      <c r="G165" s="16">
        <f>사업장!P165</f>
        <v>0</v>
      </c>
      <c r="H165" s="4" t="b">
        <f>사업장!Q165</f>
        <v>0</v>
      </c>
      <c r="I165" s="4" t="b">
        <f>사업장!R165</f>
        <v>0</v>
      </c>
    </row>
    <row r="166" spans="2:9" hidden="1" x14ac:dyDescent="0.4">
      <c r="B166" s="4" t="str">
        <f>사업장!B166</f>
        <v>W446</v>
      </c>
      <c r="C166" s="4" t="str">
        <f>사업장!C166</f>
        <v>(주)이랜드월드 뉴발란스키즈 롯데부여점</v>
      </c>
      <c r="D166" s="4" t="str">
        <f>사업장!D166</f>
        <v>5308501531</v>
      </c>
      <c r="E166" s="16">
        <f>사업장!N166</f>
        <v>0</v>
      </c>
      <c r="F166" s="16">
        <f>사업장!O166</f>
        <v>0</v>
      </c>
      <c r="G166" s="16">
        <f>사업장!P166</f>
        <v>0</v>
      </c>
      <c r="H166" s="4" t="b">
        <f>사업장!Q166</f>
        <v>0</v>
      </c>
      <c r="I166" s="4" t="b">
        <f>사업장!R166</f>
        <v>0</v>
      </c>
    </row>
    <row r="167" spans="2:9" hidden="1" x14ac:dyDescent="0.4">
      <c r="B167" s="4" t="str">
        <f>사업장!B167</f>
        <v>W447</v>
      </c>
      <c r="C167" s="4" t="str">
        <f>사업장!C167</f>
        <v>(주)이랜드월드 뉴발란스키즈 롯데파주점</v>
      </c>
      <c r="D167" s="4" t="str">
        <f>사업장!D167</f>
        <v>1798501355</v>
      </c>
      <c r="E167" s="16">
        <f>사업장!N167</f>
        <v>0</v>
      </c>
      <c r="F167" s="16">
        <f>사업장!O167</f>
        <v>0</v>
      </c>
      <c r="G167" s="16">
        <f>사업장!P167</f>
        <v>0</v>
      </c>
      <c r="H167" s="4" t="b">
        <f>사업장!Q167</f>
        <v>0</v>
      </c>
      <c r="I167" s="4" t="b">
        <f>사업장!R167</f>
        <v>0</v>
      </c>
    </row>
    <row r="168" spans="2:9" hidden="1" x14ac:dyDescent="0.4">
      <c r="B168" s="4" t="str">
        <f>사업장!B168</f>
        <v>W448</v>
      </c>
      <c r="C168" s="4" t="str">
        <f>사업장!C168</f>
        <v>(주)이랜드월드 김포 페스티발스타</v>
      </c>
      <c r="D168" s="4" t="str">
        <f>사업장!D168</f>
        <v>8248501396</v>
      </c>
      <c r="E168" s="16">
        <f>사업장!N168</f>
        <v>0</v>
      </c>
      <c r="F168" s="16">
        <f>사업장!O168</f>
        <v>0</v>
      </c>
      <c r="G168" s="16">
        <f>사업장!P168</f>
        <v>0</v>
      </c>
      <c r="H168" s="4" t="b">
        <f>사업장!Q168</f>
        <v>0</v>
      </c>
      <c r="I168" s="4" t="b">
        <f>사업장!R168</f>
        <v>0</v>
      </c>
    </row>
    <row r="169" spans="2:9" hidden="1" x14ac:dyDescent="0.4">
      <c r="B169" s="4" t="str">
        <f>사업장!B169</f>
        <v>W449</v>
      </c>
      <c r="C169" s="4" t="str">
        <f>사업장!C169</f>
        <v>(주)이랜드월드패션 명동점</v>
      </c>
      <c r="D169" s="4" t="str">
        <f>사업장!D169</f>
        <v>5708501562</v>
      </c>
      <c r="E169" s="16">
        <f>사업장!N169</f>
        <v>0</v>
      </c>
      <c r="F169" s="16">
        <f>사업장!O169</f>
        <v>0</v>
      </c>
      <c r="G169" s="16">
        <f>사업장!P169</f>
        <v>0</v>
      </c>
      <c r="H169" s="4" t="b">
        <f>사업장!Q169</f>
        <v>0</v>
      </c>
      <c r="I169" s="4" t="b">
        <f>사업장!R169</f>
        <v>0</v>
      </c>
    </row>
    <row r="170" spans="2:9" hidden="1" x14ac:dyDescent="0.4">
      <c r="B170" s="4" t="str">
        <f>사업장!B170</f>
        <v>W450</v>
      </c>
      <c r="C170" s="4" t="str">
        <f>사업장!C170</f>
        <v>(주)이랜드월드 롯데몰진주점</v>
      </c>
      <c r="D170" s="4" t="str">
        <f>사업장!D170</f>
        <v>1258549459</v>
      </c>
      <c r="E170" s="16">
        <f>사업장!N170</f>
        <v>0</v>
      </c>
      <c r="F170" s="16">
        <f>사업장!O170</f>
        <v>0</v>
      </c>
      <c r="G170" s="16">
        <f>사업장!P170</f>
        <v>0</v>
      </c>
      <c r="H170" s="4" t="b">
        <f>사업장!Q170</f>
        <v>0</v>
      </c>
      <c r="I170" s="4" t="b">
        <f>사업장!R170</f>
        <v>0</v>
      </c>
    </row>
    <row r="171" spans="2:9" hidden="1" x14ac:dyDescent="0.4">
      <c r="B171" s="4" t="str">
        <f>사업장!B171</f>
        <v>W451</v>
      </c>
      <c r="C171" s="4" t="str">
        <f>사업장!C171</f>
        <v>(주)이랜드월드 롯데월드몰</v>
      </c>
      <c r="D171" s="4" t="str">
        <f>사업장!D171</f>
        <v>5908501265</v>
      </c>
      <c r="E171" s="16">
        <f>사업장!N171</f>
        <v>0</v>
      </c>
      <c r="F171" s="16">
        <f>사업장!O171</f>
        <v>0</v>
      </c>
      <c r="G171" s="16">
        <f>사업장!P171</f>
        <v>0</v>
      </c>
      <c r="H171" s="4" t="b">
        <f>사업장!Q171</f>
        <v>0</v>
      </c>
      <c r="I171" s="4" t="b">
        <f>사업장!R171</f>
        <v>0</v>
      </c>
    </row>
    <row r="172" spans="2:9" hidden="1" x14ac:dyDescent="0.4">
      <c r="B172" s="4" t="str">
        <f>사업장!B172</f>
        <v>W452</v>
      </c>
      <c r="C172" s="4" t="str">
        <f>사업장!C172</f>
        <v>(주)이랜드월드 구리</v>
      </c>
      <c r="D172" s="4" t="str">
        <f>사업장!D172</f>
        <v>2568501161</v>
      </c>
      <c r="E172" s="16">
        <f>사업장!N172</f>
        <v>0</v>
      </c>
      <c r="F172" s="16">
        <f>사업장!O172</f>
        <v>0</v>
      </c>
      <c r="G172" s="16">
        <f>사업장!P172</f>
        <v>0</v>
      </c>
      <c r="H172" s="4" t="b">
        <f>사업장!Q172</f>
        <v>0</v>
      </c>
      <c r="I172" s="4" t="b">
        <f>사업장!R172</f>
        <v>0</v>
      </c>
    </row>
    <row r="173" spans="2:9" hidden="1" x14ac:dyDescent="0.4">
      <c r="B173" s="4" t="str">
        <f>사업장!B173</f>
        <v>W453</v>
      </c>
      <c r="C173" s="4" t="str">
        <f>사업장!C173</f>
        <v>(주)이랜드월드 천안신부</v>
      </c>
      <c r="D173" s="4" t="str">
        <f>사업장!D173</f>
        <v>6048513207</v>
      </c>
      <c r="E173" s="16">
        <f>사업장!N173</f>
        <v>0</v>
      </c>
      <c r="F173" s="16">
        <f>사업장!O173</f>
        <v>0</v>
      </c>
      <c r="G173" s="16">
        <f>사업장!P173</f>
        <v>0</v>
      </c>
      <c r="H173" s="4" t="b">
        <f>사업장!Q173</f>
        <v>0</v>
      </c>
      <c r="I173" s="4" t="b">
        <f>사업장!R173</f>
        <v>0</v>
      </c>
    </row>
    <row r="174" spans="2:9" hidden="1" x14ac:dyDescent="0.4">
      <c r="B174" s="4" t="str">
        <f>사업장!B174</f>
        <v>W454</v>
      </c>
      <c r="C174" s="4" t="str">
        <f>사업장!C174</f>
        <v>(주)이랜드월드 폴더 동춘175점</v>
      </c>
      <c r="D174" s="4" t="str">
        <f>사업장!D174</f>
        <v>3928501389</v>
      </c>
      <c r="E174" s="16">
        <f>사업장!N174</f>
        <v>0</v>
      </c>
      <c r="F174" s="16">
        <f>사업장!O174</f>
        <v>0</v>
      </c>
      <c r="G174" s="16">
        <f>사업장!P174</f>
        <v>0</v>
      </c>
      <c r="H174" s="4" t="b">
        <f>사업장!Q174</f>
        <v>0</v>
      </c>
      <c r="I174" s="4" t="b">
        <f>사업장!R174</f>
        <v>0</v>
      </c>
    </row>
    <row r="175" spans="2:9" hidden="1" x14ac:dyDescent="0.4">
      <c r="B175" s="4" t="str">
        <f>사업장!B175</f>
        <v>W455</v>
      </c>
      <c r="C175" s="4" t="str">
        <f>사업장!C175</f>
        <v>(주)이랜드월드 스타필드 위례</v>
      </c>
      <c r="D175" s="4" t="str">
        <f>사업장!D175</f>
        <v>2028505457</v>
      </c>
      <c r="E175" s="16">
        <f>사업장!N175</f>
        <v>0</v>
      </c>
      <c r="F175" s="16">
        <f>사업장!O175</f>
        <v>0</v>
      </c>
      <c r="G175" s="16">
        <f>사업장!P175</f>
        <v>0</v>
      </c>
      <c r="H175" s="4" t="b">
        <f>사업장!Q175</f>
        <v>0</v>
      </c>
      <c r="I175" s="4" t="b">
        <f>사업장!R175</f>
        <v>0</v>
      </c>
    </row>
    <row r="176" spans="2:9" hidden="1" x14ac:dyDescent="0.4">
      <c r="B176" s="4" t="str">
        <f>사업장!B176</f>
        <v>W456</v>
      </c>
      <c r="C176" s="4" t="str">
        <f>사업장!C176</f>
        <v>(주)이랜드월드패션LF스퀘어광양점</v>
      </c>
      <c r="D176" s="4" t="str">
        <f>사업장!D176</f>
        <v>6928501523</v>
      </c>
      <c r="E176" s="16">
        <f>사업장!N176</f>
        <v>0</v>
      </c>
      <c r="F176" s="16">
        <f>사업장!O176</f>
        <v>0</v>
      </c>
      <c r="G176" s="16">
        <f>사업장!P176</f>
        <v>0</v>
      </c>
      <c r="H176" s="4" t="b">
        <f>사업장!Q176</f>
        <v>0</v>
      </c>
      <c r="I176" s="4" t="b">
        <f>사업장!R176</f>
        <v>0</v>
      </c>
    </row>
    <row r="177" spans="2:9" x14ac:dyDescent="0.4">
      <c r="B177" s="4" t="str">
        <f>사업장!B177</f>
        <v>W457</v>
      </c>
      <c r="C177" s="4" t="str">
        <f>사업장!C177</f>
        <v>㈜이랜드월드패션 현대대전</v>
      </c>
      <c r="D177" s="4" t="str">
        <f>사업장!D177</f>
        <v>2228513738</v>
      </c>
      <c r="E177" s="16">
        <f>사업장!N177</f>
        <v>93175385</v>
      </c>
      <c r="F177" s="16">
        <f>사업장!O177</f>
        <v>9317538</v>
      </c>
      <c r="G177" s="16">
        <f>사업장!P177</f>
        <v>0</v>
      </c>
      <c r="H177" s="4" t="b">
        <f>사업장!Q177</f>
        <v>1</v>
      </c>
      <c r="I177" s="4" t="b">
        <f>사업장!R177</f>
        <v>0</v>
      </c>
    </row>
    <row r="178" spans="2:9" x14ac:dyDescent="0.4">
      <c r="B178" s="4" t="str">
        <f>사업장!B178</f>
        <v>W458</v>
      </c>
      <c r="C178" s="4" t="str">
        <f>사업장!C178</f>
        <v>㈜이랜드월드 AK 가로수길점</v>
      </c>
      <c r="D178" s="4" t="str">
        <f>사업장!D178</f>
        <v>7108501646</v>
      </c>
      <c r="E178" s="16">
        <f>사업장!N178</f>
        <v>4073</v>
      </c>
      <c r="F178" s="16">
        <f>사업장!O178</f>
        <v>408</v>
      </c>
      <c r="G178" s="16">
        <f>사업장!P178</f>
        <v>0</v>
      </c>
      <c r="H178" s="4" t="b">
        <f>사업장!Q178</f>
        <v>1</v>
      </c>
      <c r="I178" s="4" t="b">
        <f>사업장!R178</f>
        <v>0</v>
      </c>
    </row>
    <row r="179" spans="2:9" x14ac:dyDescent="0.4">
      <c r="B179" s="4" t="str">
        <f>사업장!B179</f>
        <v>W459</v>
      </c>
      <c r="C179" s="4" t="str">
        <f>사업장!C179</f>
        <v>㈜이랜드월드 폴더 전주객사점</v>
      </c>
      <c r="D179" s="4" t="str">
        <f>사업장!D179</f>
        <v>7538501401</v>
      </c>
      <c r="E179" s="16">
        <f>사업장!N179</f>
        <v>980489</v>
      </c>
      <c r="F179" s="16">
        <f>사업장!O179</f>
        <v>98049</v>
      </c>
      <c r="G179" s="16">
        <f>사업장!P179</f>
        <v>0</v>
      </c>
      <c r="H179" s="4" t="b">
        <f>사업장!Q179</f>
        <v>1</v>
      </c>
      <c r="I179" s="4" t="b">
        <f>사업장!R179</f>
        <v>0</v>
      </c>
    </row>
    <row r="180" spans="2:9" hidden="1" x14ac:dyDescent="0.4">
      <c r="B180" s="4" t="str">
        <f>사업장!B180</f>
        <v>W460</v>
      </c>
      <c r="C180" s="4" t="str">
        <f>사업장!C180</f>
        <v>주식회사 이랜드월드(유럽BG아시아지사)</v>
      </c>
      <c r="D180" s="4" t="str">
        <f>사업장!D180</f>
        <v>3758501502</v>
      </c>
      <c r="E180" s="16">
        <f>사업장!N180</f>
        <v>0</v>
      </c>
      <c r="F180" s="16">
        <f>사업장!O180</f>
        <v>0</v>
      </c>
      <c r="G180" s="16">
        <f>사업장!P180</f>
        <v>0</v>
      </c>
      <c r="H180" s="4" t="b">
        <f>사업장!Q180</f>
        <v>0</v>
      </c>
      <c r="I180" s="4" t="b">
        <f>사업장!R180</f>
        <v>0</v>
      </c>
    </row>
    <row r="181" spans="2:9" hidden="1" x14ac:dyDescent="0.4">
      <c r="B181" s="4" t="str">
        <f>사업장!B181</f>
        <v>W461</v>
      </c>
      <c r="C181" s="4" t="str">
        <f>사업장!C181</f>
        <v>(주)이랜드월드 충장로</v>
      </c>
      <c r="D181" s="4" t="str">
        <f>사업장!D181</f>
        <v>4488501514</v>
      </c>
      <c r="E181" s="16">
        <f>사업장!N181</f>
        <v>0</v>
      </c>
      <c r="F181" s="16">
        <f>사업장!O181</f>
        <v>0</v>
      </c>
      <c r="G181" s="16">
        <f>사업장!P181</f>
        <v>0</v>
      </c>
      <c r="H181" s="4" t="b">
        <f>사업장!Q181</f>
        <v>0</v>
      </c>
      <c r="I181" s="4" t="b">
        <f>사업장!R181</f>
        <v>0</v>
      </c>
    </row>
    <row r="182" spans="2:9" x14ac:dyDescent="0.4">
      <c r="B182" s="4" t="str">
        <f>사업장!B182</f>
        <v>W462</v>
      </c>
      <c r="C182" s="4" t="str">
        <f>사업장!C182</f>
        <v>(주)이랜드월드 스타필드안성</v>
      </c>
      <c r="D182" s="4" t="str">
        <f>사업장!D182</f>
        <v>1748501608</v>
      </c>
      <c r="E182" s="16">
        <f>사업장!N182</f>
        <v>433196561</v>
      </c>
      <c r="F182" s="16">
        <f>사업장!O182</f>
        <v>43319656</v>
      </c>
      <c r="G182" s="16">
        <f>사업장!P182</f>
        <v>0</v>
      </c>
      <c r="H182" s="4" t="b">
        <f>사업장!Q182</f>
        <v>1</v>
      </c>
      <c r="I182" s="4" t="b">
        <f>사업장!R182</f>
        <v>0</v>
      </c>
    </row>
    <row r="183" spans="2:9" hidden="1" x14ac:dyDescent="0.4">
      <c r="B183" s="4" t="str">
        <f>사업장!B183</f>
        <v>W463</v>
      </c>
      <c r="C183" s="4" t="str">
        <f>사업장!C183</f>
        <v>(주)이랜드월드 진주</v>
      </c>
      <c r="D183" s="4" t="str">
        <f>사업장!D183</f>
        <v>2158548957</v>
      </c>
      <c r="E183" s="16">
        <f>사업장!N183</f>
        <v>0</v>
      </c>
      <c r="F183" s="16">
        <f>사업장!O183</f>
        <v>0</v>
      </c>
      <c r="G183" s="16">
        <f>사업장!P183</f>
        <v>0</v>
      </c>
      <c r="H183" s="4" t="b">
        <f>사업장!Q183</f>
        <v>0</v>
      </c>
      <c r="I183" s="4" t="b">
        <f>사업장!R183</f>
        <v>0</v>
      </c>
    </row>
  </sheetData>
  <autoFilter ref="B3:I183">
    <filterColumn colId="6">
      <filters>
        <filter val="TRUE"/>
      </filters>
    </filterColumn>
  </autoFilter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33"/>
  <sheetViews>
    <sheetView workbookViewId="0">
      <selection activeCell="K5" sqref="K5"/>
    </sheetView>
  </sheetViews>
  <sheetFormatPr defaultRowHeight="17.399999999999999" x14ac:dyDescent="0.4"/>
  <cols>
    <col min="2" max="2" width="6.09765625" bestFit="1" customWidth="1"/>
    <col min="3" max="3" width="13.8984375" bestFit="1" customWidth="1"/>
  </cols>
  <sheetData>
    <row r="1" spans="3:20" x14ac:dyDescent="0.4">
      <c r="C1" s="19"/>
      <c r="D1" s="19"/>
      <c r="K1" s="19"/>
    </row>
    <row r="2" spans="3:20" x14ac:dyDescent="0.4">
      <c r="C2" s="19"/>
      <c r="D2" s="19"/>
      <c r="H2" s="19"/>
      <c r="I2" s="19"/>
      <c r="J2" s="19"/>
      <c r="K2" s="19"/>
      <c r="P2" s="19"/>
      <c r="Q2" s="19"/>
    </row>
    <row r="3" spans="3:20" x14ac:dyDescent="0.4">
      <c r="P3" s="19"/>
    </row>
    <row r="4" spans="3:20" x14ac:dyDescent="0.4">
      <c r="P4" s="19"/>
      <c r="Q4" s="19"/>
    </row>
    <row r="5" spans="3:20" x14ac:dyDescent="0.4">
      <c r="C5" s="19"/>
      <c r="D5" s="19"/>
      <c r="H5" s="19"/>
      <c r="I5" s="19"/>
      <c r="J5" s="19"/>
      <c r="K5" s="19"/>
      <c r="P5" s="19"/>
      <c r="Q5" s="19"/>
    </row>
    <row r="6" spans="3:20" x14ac:dyDescent="0.4">
      <c r="P6" s="19"/>
      <c r="Q6" s="19"/>
    </row>
    <row r="7" spans="3:20" x14ac:dyDescent="0.4">
      <c r="C7" s="19"/>
      <c r="D7" s="19"/>
      <c r="H7" s="19"/>
      <c r="I7" s="19"/>
      <c r="J7" s="19"/>
      <c r="K7" s="19"/>
      <c r="M7" s="19"/>
      <c r="N7" s="19"/>
      <c r="P7" s="19"/>
      <c r="Q7" s="19"/>
    </row>
    <row r="8" spans="3:20" x14ac:dyDescent="0.4">
      <c r="C8" s="19"/>
      <c r="D8" s="19"/>
      <c r="H8" s="19"/>
      <c r="I8" s="19"/>
      <c r="J8" s="19"/>
      <c r="K8" s="19"/>
      <c r="P8" s="19"/>
      <c r="Q8" s="19"/>
      <c r="S8" s="19"/>
      <c r="T8" s="19"/>
    </row>
    <row r="9" spans="3:20" x14ac:dyDescent="0.4">
      <c r="C9" s="19"/>
      <c r="D9" s="19"/>
      <c r="H9" s="19"/>
      <c r="I9" s="19"/>
      <c r="J9" s="19"/>
      <c r="K9" s="19"/>
    </row>
    <row r="10" spans="3:20" x14ac:dyDescent="0.4">
      <c r="C10" s="19"/>
      <c r="D10" s="19"/>
      <c r="H10" s="19"/>
      <c r="I10" s="19"/>
      <c r="J10" s="19"/>
      <c r="K10" s="19"/>
      <c r="P10" s="19"/>
      <c r="Q10" s="19"/>
    </row>
    <row r="11" spans="3:20" x14ac:dyDescent="0.4">
      <c r="C11" s="19"/>
      <c r="D11" s="19"/>
      <c r="H11" s="19"/>
      <c r="I11" s="19"/>
      <c r="J11" s="19"/>
      <c r="K11" s="19"/>
      <c r="P11" s="19"/>
      <c r="Q11" s="19"/>
    </row>
    <row r="12" spans="3:20" x14ac:dyDescent="0.4">
      <c r="C12" s="19"/>
      <c r="D12" s="19"/>
      <c r="H12" s="19"/>
      <c r="I12" s="19"/>
      <c r="J12" s="19"/>
      <c r="K12" s="19"/>
      <c r="P12" s="19"/>
      <c r="Q12" s="19"/>
    </row>
    <row r="13" spans="3:20" x14ac:dyDescent="0.4">
      <c r="C13" s="19"/>
      <c r="D13" s="19"/>
      <c r="H13" s="19"/>
      <c r="I13" s="19"/>
      <c r="J13" s="19"/>
      <c r="K13" s="19"/>
      <c r="P13" s="19"/>
      <c r="Q13" s="19"/>
    </row>
    <row r="14" spans="3:20" x14ac:dyDescent="0.4">
      <c r="C14" s="19"/>
      <c r="D14" s="19"/>
      <c r="H14" s="19"/>
      <c r="I14" s="19"/>
      <c r="J14" s="19"/>
      <c r="K14" s="19"/>
      <c r="P14" s="19"/>
      <c r="Q14" s="19"/>
    </row>
    <row r="15" spans="3:20" x14ac:dyDescent="0.4">
      <c r="C15" s="19"/>
      <c r="D15" s="19"/>
      <c r="H15" s="19"/>
      <c r="I15" s="19"/>
      <c r="J15" s="19"/>
      <c r="K15" s="19"/>
      <c r="P15" s="19"/>
      <c r="Q15" s="19"/>
    </row>
    <row r="16" spans="3:20" x14ac:dyDescent="0.4">
      <c r="C16" s="19"/>
      <c r="D16" s="19"/>
      <c r="H16" s="19"/>
      <c r="I16" s="19"/>
      <c r="J16" s="19"/>
      <c r="K16" s="19"/>
      <c r="P16" s="19"/>
      <c r="Q16" s="19"/>
    </row>
    <row r="17" spans="3:17" x14ac:dyDescent="0.4">
      <c r="C17" s="19"/>
      <c r="D17" s="19"/>
      <c r="H17" s="19"/>
      <c r="I17" s="19"/>
      <c r="J17" s="19"/>
      <c r="K17" s="19"/>
      <c r="P17" s="19"/>
      <c r="Q17" s="19"/>
    </row>
    <row r="18" spans="3:17" x14ac:dyDescent="0.4">
      <c r="C18" s="19"/>
      <c r="D18" s="19"/>
      <c r="H18" s="19"/>
      <c r="I18" s="19"/>
      <c r="J18" s="19"/>
      <c r="K18" s="19"/>
      <c r="P18" s="19"/>
      <c r="Q18" s="19"/>
    </row>
    <row r="19" spans="3:17" x14ac:dyDescent="0.4">
      <c r="C19" s="19"/>
      <c r="D19" s="19"/>
      <c r="H19" s="19"/>
      <c r="I19" s="19"/>
      <c r="J19" s="19"/>
      <c r="K19" s="19"/>
      <c r="P19" s="19"/>
      <c r="Q19" s="19"/>
    </row>
    <row r="20" spans="3:17" x14ac:dyDescent="0.4">
      <c r="C20" s="19"/>
      <c r="D20" s="19"/>
      <c r="H20" s="19"/>
      <c r="I20" s="19"/>
      <c r="J20" s="19"/>
      <c r="K20" s="19"/>
    </row>
    <row r="21" spans="3:17" x14ac:dyDescent="0.4">
      <c r="C21" s="19"/>
      <c r="D21" s="19"/>
      <c r="H21" s="19"/>
      <c r="I21" s="19"/>
      <c r="J21" s="19"/>
      <c r="K21" s="19"/>
    </row>
    <row r="22" spans="3:17" x14ac:dyDescent="0.4">
      <c r="C22" s="19"/>
      <c r="D22" s="19"/>
      <c r="H22" s="19"/>
      <c r="I22" s="19"/>
      <c r="J22" s="19"/>
      <c r="K22" s="19"/>
    </row>
    <row r="23" spans="3:17" x14ac:dyDescent="0.4">
      <c r="C23" s="19"/>
      <c r="D23" s="19"/>
      <c r="H23" s="19"/>
      <c r="I23" s="19"/>
      <c r="J23" s="19"/>
      <c r="K23" s="19"/>
      <c r="P23" s="19"/>
      <c r="Q23" s="19"/>
    </row>
    <row r="24" spans="3:17" x14ac:dyDescent="0.4">
      <c r="C24" s="19"/>
      <c r="D24" s="19"/>
      <c r="K24" s="19"/>
      <c r="P24" s="19"/>
      <c r="Q24" s="19"/>
    </row>
    <row r="25" spans="3:17" x14ac:dyDescent="0.4">
      <c r="C25" s="19"/>
      <c r="D25" s="19"/>
      <c r="H25" s="19"/>
      <c r="I25" s="19"/>
      <c r="J25" s="19"/>
      <c r="K25" s="19"/>
      <c r="P25" s="19"/>
      <c r="Q25" s="19"/>
    </row>
    <row r="26" spans="3:17" x14ac:dyDescent="0.4">
      <c r="C26" s="19"/>
      <c r="D26" s="19"/>
      <c r="H26" s="19"/>
      <c r="I26" s="19"/>
      <c r="J26" s="19"/>
      <c r="K26" s="19"/>
      <c r="P26" s="19"/>
      <c r="Q26" s="19"/>
    </row>
    <row r="27" spans="3:17" x14ac:dyDescent="0.4">
      <c r="C27" s="19"/>
      <c r="D27" s="19"/>
      <c r="K27" s="19"/>
    </row>
    <row r="28" spans="3:17" x14ac:dyDescent="0.4">
      <c r="C28" s="19"/>
      <c r="D28" s="19"/>
      <c r="H28" s="19"/>
      <c r="I28" s="19"/>
      <c r="J28" s="19"/>
      <c r="K28" s="19"/>
      <c r="P28" s="19"/>
      <c r="Q28" s="19"/>
    </row>
    <row r="29" spans="3:17" x14ac:dyDescent="0.4">
      <c r="C29" s="19"/>
      <c r="D29" s="19"/>
      <c r="H29" s="19"/>
      <c r="I29" s="19"/>
      <c r="J29" s="19"/>
      <c r="K29" s="19"/>
      <c r="P29" s="19"/>
      <c r="Q29" s="19"/>
    </row>
    <row r="30" spans="3:17" x14ac:dyDescent="0.4">
      <c r="C30" s="19"/>
      <c r="D30" s="19"/>
      <c r="H30" s="19"/>
      <c r="I30" s="19"/>
      <c r="J30" s="19"/>
      <c r="K30" s="19"/>
      <c r="P30" s="19"/>
      <c r="Q30" s="19"/>
    </row>
    <row r="31" spans="3:17" x14ac:dyDescent="0.4">
      <c r="C31" s="19"/>
      <c r="D31" s="19"/>
      <c r="H31" s="19"/>
      <c r="I31" s="19"/>
      <c r="J31" s="19"/>
      <c r="K31" s="19"/>
      <c r="P31" s="19"/>
      <c r="Q31" s="19"/>
    </row>
    <row r="32" spans="3:17" x14ac:dyDescent="0.4">
      <c r="C32" s="19"/>
      <c r="D32" s="19"/>
      <c r="H32" s="19"/>
      <c r="I32" s="19"/>
      <c r="J32" s="19"/>
      <c r="K32" s="19"/>
      <c r="P32" s="19"/>
      <c r="Q32" s="19"/>
    </row>
    <row r="33" spans="3:11" x14ac:dyDescent="0.4">
      <c r="C33" s="19"/>
      <c r="D33" s="19"/>
      <c r="K33" s="19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opLeftCell="A16" workbookViewId="0">
      <selection activeCell="D2" sqref="B2:D2"/>
    </sheetView>
  </sheetViews>
  <sheetFormatPr defaultRowHeight="17.399999999999999" x14ac:dyDescent="0.4"/>
  <cols>
    <col min="1" max="1" width="6.796875" bestFit="1" customWidth="1"/>
    <col min="2" max="2" width="13.8984375" bestFit="1" customWidth="1"/>
    <col min="3" max="4" width="12.796875" bestFit="1" customWidth="1"/>
  </cols>
  <sheetData>
    <row r="1" spans="1:4" x14ac:dyDescent="0.4">
      <c r="A1" t="s">
        <v>0</v>
      </c>
      <c r="B1" t="s">
        <v>565</v>
      </c>
      <c r="C1" t="s">
        <v>566</v>
      </c>
      <c r="D1" t="s">
        <v>567</v>
      </c>
    </row>
    <row r="2" spans="1:4" x14ac:dyDescent="0.4">
      <c r="A2" t="s">
        <v>16</v>
      </c>
      <c r="B2" s="19">
        <v>4044074516</v>
      </c>
      <c r="C2" s="19">
        <v>403763747</v>
      </c>
      <c r="D2" s="19">
        <v>1469257510</v>
      </c>
    </row>
    <row r="3" spans="1:4" x14ac:dyDescent="0.4">
      <c r="A3" t="s">
        <v>2</v>
      </c>
      <c r="B3" s="19">
        <v>23236</v>
      </c>
      <c r="C3" s="19">
        <v>2323</v>
      </c>
    </row>
    <row r="4" spans="1:4" x14ac:dyDescent="0.4">
      <c r="A4" t="s">
        <v>4</v>
      </c>
      <c r="B4" s="19">
        <v>197097354</v>
      </c>
      <c r="C4" s="19">
        <v>19709734</v>
      </c>
      <c r="D4" s="19">
        <v>2200255</v>
      </c>
    </row>
    <row r="5" spans="1:4" x14ac:dyDescent="0.4">
      <c r="A5" t="s">
        <v>6</v>
      </c>
    </row>
    <row r="6" spans="1:4" x14ac:dyDescent="0.4">
      <c r="A6" t="s">
        <v>8</v>
      </c>
      <c r="B6" s="19">
        <v>1800</v>
      </c>
      <c r="C6">
        <v>180</v>
      </c>
    </row>
    <row r="7" spans="1:4" x14ac:dyDescent="0.4">
      <c r="A7" t="s">
        <v>10</v>
      </c>
      <c r="B7" s="19">
        <v>675098</v>
      </c>
      <c r="C7" s="19">
        <v>67510</v>
      </c>
    </row>
    <row r="8" spans="1:4" x14ac:dyDescent="0.4">
      <c r="A8" t="s">
        <v>12</v>
      </c>
      <c r="B8" s="19">
        <v>5379143</v>
      </c>
      <c r="C8" s="19">
        <v>537914</v>
      </c>
    </row>
    <row r="9" spans="1:4" x14ac:dyDescent="0.4">
      <c r="A9" t="s">
        <v>14</v>
      </c>
      <c r="B9" s="19">
        <v>56842402</v>
      </c>
      <c r="C9" s="19">
        <v>5684240</v>
      </c>
    </row>
    <row r="10" spans="1:4" x14ac:dyDescent="0.4">
      <c r="A10" t="s">
        <v>18</v>
      </c>
      <c r="B10" s="19">
        <v>53647278952</v>
      </c>
      <c r="C10" s="19">
        <v>5325305753</v>
      </c>
      <c r="D10" s="19">
        <v>683444019</v>
      </c>
    </row>
    <row r="11" spans="1:4" x14ac:dyDescent="0.4">
      <c r="A11" t="s">
        <v>20</v>
      </c>
      <c r="B11" s="19">
        <v>30507487</v>
      </c>
      <c r="C11" s="19">
        <v>3050752</v>
      </c>
      <c r="D11" s="19">
        <v>244000</v>
      </c>
    </row>
    <row r="12" spans="1:4" x14ac:dyDescent="0.4">
      <c r="A12" t="s">
        <v>22</v>
      </c>
      <c r="B12" s="19">
        <v>25220022</v>
      </c>
      <c r="C12" s="19">
        <v>2522001</v>
      </c>
    </row>
    <row r="13" spans="1:4" x14ac:dyDescent="0.4">
      <c r="A13" t="s">
        <v>24</v>
      </c>
      <c r="B13" s="19">
        <v>23253591</v>
      </c>
      <c r="C13" s="19">
        <v>2325358</v>
      </c>
    </row>
    <row r="14" spans="1:4" x14ac:dyDescent="0.4">
      <c r="A14" t="s">
        <v>26</v>
      </c>
      <c r="B14" s="19">
        <v>50474384</v>
      </c>
      <c r="C14" s="19">
        <v>5047439</v>
      </c>
      <c r="D14" s="19">
        <v>158200</v>
      </c>
    </row>
    <row r="15" spans="1:4" x14ac:dyDescent="0.4">
      <c r="A15" t="s">
        <v>28</v>
      </c>
      <c r="B15" s="19">
        <v>16820791</v>
      </c>
      <c r="C15" s="19">
        <v>1682079</v>
      </c>
    </row>
    <row r="16" spans="1:4" x14ac:dyDescent="0.4">
      <c r="A16" t="s">
        <v>30</v>
      </c>
      <c r="B16" s="19">
        <v>15911235</v>
      </c>
      <c r="C16" s="19">
        <v>1591058</v>
      </c>
      <c r="D16" s="19">
        <v>5599</v>
      </c>
    </row>
    <row r="17" spans="1:4" x14ac:dyDescent="0.4">
      <c r="A17" t="s">
        <v>32</v>
      </c>
      <c r="B17" s="19">
        <v>21836784</v>
      </c>
      <c r="C17" s="19">
        <v>2183678</v>
      </c>
    </row>
    <row r="18" spans="1:4" x14ac:dyDescent="0.4">
      <c r="A18" t="s">
        <v>34</v>
      </c>
    </row>
    <row r="19" spans="1:4" x14ac:dyDescent="0.4">
      <c r="A19" t="s">
        <v>36</v>
      </c>
      <c r="B19" s="19">
        <v>115668354</v>
      </c>
      <c r="C19" s="19">
        <v>11566851</v>
      </c>
    </row>
    <row r="20" spans="1:4" x14ac:dyDescent="0.4">
      <c r="A20" t="s">
        <v>38</v>
      </c>
      <c r="B20" s="19">
        <v>2499599</v>
      </c>
      <c r="C20" s="19">
        <v>249959</v>
      </c>
    </row>
    <row r="21" spans="1:4" x14ac:dyDescent="0.4">
      <c r="A21" t="s">
        <v>40</v>
      </c>
      <c r="B21" s="19">
        <v>420000</v>
      </c>
      <c r="C21" s="19">
        <v>42000</v>
      </c>
    </row>
    <row r="22" spans="1:4" x14ac:dyDescent="0.4">
      <c r="A22" t="s">
        <v>42</v>
      </c>
      <c r="B22" s="19">
        <v>15022353</v>
      </c>
      <c r="C22" s="19">
        <v>1502234</v>
      </c>
    </row>
    <row r="23" spans="1:4" x14ac:dyDescent="0.4">
      <c r="A23" t="s">
        <v>44</v>
      </c>
      <c r="B23" s="19">
        <v>50540618</v>
      </c>
      <c r="C23" s="19">
        <v>5054061</v>
      </c>
    </row>
    <row r="24" spans="1:4" x14ac:dyDescent="0.4">
      <c r="A24" t="s">
        <v>46</v>
      </c>
    </row>
    <row r="25" spans="1:4" x14ac:dyDescent="0.4">
      <c r="A25" t="s">
        <v>48</v>
      </c>
      <c r="B25" s="19">
        <v>380545455</v>
      </c>
      <c r="C25" s="19">
        <v>38054545</v>
      </c>
    </row>
    <row r="26" spans="1:4" x14ac:dyDescent="0.4">
      <c r="A26" t="s">
        <v>50</v>
      </c>
      <c r="B26" s="19">
        <v>33332206</v>
      </c>
      <c r="C26" s="19">
        <v>3333221</v>
      </c>
      <c r="D26" s="19">
        <v>337892</v>
      </c>
    </row>
    <row r="27" spans="1:4" x14ac:dyDescent="0.4">
      <c r="A27" t="s">
        <v>52</v>
      </c>
      <c r="B27" s="19">
        <v>72092543</v>
      </c>
      <c r="C27" s="19">
        <v>7209254</v>
      </c>
      <c r="D27" s="19">
        <v>263000</v>
      </c>
    </row>
    <row r="28" spans="1:4" x14ac:dyDescent="0.4">
      <c r="A28" t="s">
        <v>54</v>
      </c>
      <c r="B28" s="19">
        <v>61720120</v>
      </c>
      <c r="C28" s="19">
        <v>6172012</v>
      </c>
      <c r="D28" s="19">
        <v>18438</v>
      </c>
    </row>
    <row r="29" spans="1:4" x14ac:dyDescent="0.4">
      <c r="A29" t="s">
        <v>56</v>
      </c>
      <c r="B29" s="19">
        <v>36493023</v>
      </c>
      <c r="C29" s="19">
        <v>3649302</v>
      </c>
    </row>
    <row r="30" spans="1:4" x14ac:dyDescent="0.4">
      <c r="A30" t="s">
        <v>58</v>
      </c>
      <c r="B30" s="19">
        <v>204020539</v>
      </c>
      <c r="C30" s="19">
        <v>20402056</v>
      </c>
    </row>
    <row r="31" spans="1:4" x14ac:dyDescent="0.4">
      <c r="A31" t="s">
        <v>60</v>
      </c>
      <c r="B31" s="19">
        <v>70797053</v>
      </c>
      <c r="C31" s="19">
        <v>7079706</v>
      </c>
      <c r="D31" s="19">
        <v>4181</v>
      </c>
    </row>
    <row r="32" spans="1:4" x14ac:dyDescent="0.4">
      <c r="A32" t="s">
        <v>62</v>
      </c>
      <c r="B32" s="19">
        <v>70964411</v>
      </c>
      <c r="C32" s="19">
        <v>7096437</v>
      </c>
      <c r="D32" s="19">
        <v>72964</v>
      </c>
    </row>
    <row r="33" spans="1:4" x14ac:dyDescent="0.4">
      <c r="A33" t="s">
        <v>64</v>
      </c>
      <c r="B33" s="19">
        <v>152475553</v>
      </c>
      <c r="C33" s="19">
        <v>15247561</v>
      </c>
    </row>
    <row r="34" spans="1:4" x14ac:dyDescent="0.4">
      <c r="A34" t="s">
        <v>66</v>
      </c>
      <c r="B34" s="19">
        <v>36668460</v>
      </c>
      <c r="C34" s="19">
        <v>3666845</v>
      </c>
    </row>
    <row r="35" spans="1:4" x14ac:dyDescent="0.4">
      <c r="A35" t="s">
        <v>68</v>
      </c>
      <c r="B35" s="19">
        <v>83816687</v>
      </c>
      <c r="C35" s="19">
        <v>8381670</v>
      </c>
    </row>
    <row r="36" spans="1:4" x14ac:dyDescent="0.4">
      <c r="A36" t="s">
        <v>70</v>
      </c>
      <c r="B36" s="19">
        <v>439843</v>
      </c>
      <c r="C36" s="19">
        <v>43984</v>
      </c>
    </row>
    <row r="37" spans="1:4" x14ac:dyDescent="0.4">
      <c r="A37" t="s">
        <v>72</v>
      </c>
    </row>
    <row r="38" spans="1:4" x14ac:dyDescent="0.4">
      <c r="A38" t="s">
        <v>74</v>
      </c>
      <c r="B38" s="19">
        <v>44504700</v>
      </c>
      <c r="C38" s="19">
        <v>4450472</v>
      </c>
      <c r="D38" s="19">
        <v>6309</v>
      </c>
    </row>
    <row r="39" spans="1:4" x14ac:dyDescent="0.4">
      <c r="A39" t="s">
        <v>76</v>
      </c>
      <c r="B39" s="19">
        <v>16433756</v>
      </c>
      <c r="C39" s="19">
        <v>1643373</v>
      </c>
      <c r="D39" s="19">
        <v>104679</v>
      </c>
    </row>
    <row r="40" spans="1:4" x14ac:dyDescent="0.4">
      <c r="A40" t="s">
        <v>78</v>
      </c>
      <c r="B40" s="19">
        <v>5910353</v>
      </c>
      <c r="C40" s="19">
        <v>591035</v>
      </c>
    </row>
    <row r="41" spans="1:4" x14ac:dyDescent="0.4">
      <c r="A41" t="s">
        <v>80</v>
      </c>
      <c r="B41" s="19">
        <v>184917964</v>
      </c>
      <c r="C41" s="19">
        <v>18491794</v>
      </c>
      <c r="D41" s="19">
        <v>1290900</v>
      </c>
    </row>
    <row r="42" spans="1:4" x14ac:dyDescent="0.4">
      <c r="A42" t="s">
        <v>82</v>
      </c>
      <c r="B42" s="19">
        <v>15424176</v>
      </c>
      <c r="C42" s="19">
        <v>1542418</v>
      </c>
    </row>
    <row r="43" spans="1:4" x14ac:dyDescent="0.4">
      <c r="A43" t="s">
        <v>84</v>
      </c>
      <c r="B43" s="19">
        <v>47194023</v>
      </c>
      <c r="C43" s="19">
        <v>4719400</v>
      </c>
    </row>
    <row r="44" spans="1:4" x14ac:dyDescent="0.4">
      <c r="A44" t="s">
        <v>86</v>
      </c>
      <c r="B44" s="19">
        <v>84010540</v>
      </c>
      <c r="C44" s="19">
        <v>8401048</v>
      </c>
      <c r="D44" s="19">
        <v>44295</v>
      </c>
    </row>
    <row r="45" spans="1:4" x14ac:dyDescent="0.4">
      <c r="A45" t="s">
        <v>88</v>
      </c>
      <c r="B45" s="19">
        <v>19351389</v>
      </c>
      <c r="C45" s="19">
        <v>1935138</v>
      </c>
    </row>
    <row r="46" spans="1:4" x14ac:dyDescent="0.4">
      <c r="A46" t="s">
        <v>90</v>
      </c>
      <c r="B46" s="19">
        <v>10900704</v>
      </c>
      <c r="C46" s="19">
        <v>1090070</v>
      </c>
    </row>
    <row r="47" spans="1:4" x14ac:dyDescent="0.4">
      <c r="A47" t="s">
        <v>92</v>
      </c>
      <c r="B47" s="19"/>
      <c r="C47" s="19"/>
    </row>
    <row r="48" spans="1:4" x14ac:dyDescent="0.4">
      <c r="A48" t="s">
        <v>94</v>
      </c>
      <c r="B48" s="19">
        <v>14426909</v>
      </c>
      <c r="C48" s="19">
        <v>1442691</v>
      </c>
    </row>
    <row r="49" spans="1:4" x14ac:dyDescent="0.4">
      <c r="A49" t="s">
        <v>96</v>
      </c>
      <c r="B49" s="19">
        <v>22093547</v>
      </c>
      <c r="C49" s="19">
        <v>2209359</v>
      </c>
      <c r="D49" s="19">
        <v>1277539</v>
      </c>
    </row>
    <row r="50" spans="1:4" x14ac:dyDescent="0.4">
      <c r="A50" t="s">
        <v>98</v>
      </c>
      <c r="B50" s="19">
        <v>68794311</v>
      </c>
      <c r="C50" s="19">
        <v>6879431</v>
      </c>
    </row>
    <row r="51" spans="1:4" x14ac:dyDescent="0.4">
      <c r="A51" t="s">
        <v>100</v>
      </c>
      <c r="B51" s="19">
        <v>12689055</v>
      </c>
      <c r="C51" s="19">
        <v>1268905</v>
      </c>
    </row>
    <row r="52" spans="1:4" x14ac:dyDescent="0.4">
      <c r="A52" t="s">
        <v>102</v>
      </c>
      <c r="B52" s="19">
        <v>5913041</v>
      </c>
      <c r="C52" s="19">
        <v>591303</v>
      </c>
      <c r="D52" s="19">
        <v>379879</v>
      </c>
    </row>
    <row r="53" spans="1:4" x14ac:dyDescent="0.4">
      <c r="A53" t="s">
        <v>104</v>
      </c>
    </row>
    <row r="54" spans="1:4" x14ac:dyDescent="0.4">
      <c r="A54" t="s">
        <v>106</v>
      </c>
      <c r="B54" s="19">
        <v>56898412</v>
      </c>
      <c r="C54" s="19">
        <v>5689841</v>
      </c>
      <c r="D54" s="19">
        <v>42587</v>
      </c>
    </row>
    <row r="55" spans="1:4" x14ac:dyDescent="0.4">
      <c r="A55" t="s">
        <v>108</v>
      </c>
      <c r="B55" s="19">
        <v>14950605</v>
      </c>
      <c r="C55" s="19">
        <v>1495057</v>
      </c>
      <c r="D55" s="19">
        <v>70520</v>
      </c>
    </row>
    <row r="56" spans="1:4" x14ac:dyDescent="0.4">
      <c r="A56" t="s">
        <v>110</v>
      </c>
      <c r="B56" s="19">
        <v>186680269</v>
      </c>
      <c r="C56" s="19">
        <v>18668019</v>
      </c>
    </row>
    <row r="57" spans="1:4" x14ac:dyDescent="0.4">
      <c r="A57" t="s">
        <v>112</v>
      </c>
    </row>
    <row r="58" spans="1:4" x14ac:dyDescent="0.4">
      <c r="A58" t="s">
        <v>114</v>
      </c>
      <c r="B58" s="19">
        <v>985538</v>
      </c>
      <c r="C58" s="19">
        <v>98554</v>
      </c>
    </row>
    <row r="59" spans="1:4" x14ac:dyDescent="0.4">
      <c r="A59" t="s">
        <v>116</v>
      </c>
      <c r="B59" s="19">
        <v>290159824</v>
      </c>
      <c r="C59" s="19">
        <v>29016006</v>
      </c>
      <c r="D59" s="19">
        <v>483864</v>
      </c>
    </row>
    <row r="60" spans="1:4" x14ac:dyDescent="0.4">
      <c r="A60" t="s">
        <v>118</v>
      </c>
      <c r="B60" s="19">
        <v>25865584</v>
      </c>
      <c r="C60" s="19">
        <v>2586559</v>
      </c>
      <c r="D60" s="19">
        <v>25840</v>
      </c>
    </row>
    <row r="61" spans="1:4" x14ac:dyDescent="0.4">
      <c r="A61" t="s">
        <v>120</v>
      </c>
      <c r="B61" s="19">
        <v>18323293</v>
      </c>
      <c r="C61" s="19">
        <v>1832330</v>
      </c>
    </row>
    <row r="62" spans="1:4" x14ac:dyDescent="0.4">
      <c r="A62" t="s">
        <v>122</v>
      </c>
      <c r="B62" s="19">
        <v>46373218</v>
      </c>
      <c r="C62" s="19">
        <v>4637321</v>
      </c>
    </row>
    <row r="63" spans="1:4" x14ac:dyDescent="0.4">
      <c r="A63" t="s">
        <v>124</v>
      </c>
      <c r="B63" s="19">
        <v>125369495</v>
      </c>
      <c r="C63" s="19">
        <v>12536949</v>
      </c>
      <c r="D63" s="19">
        <v>437574</v>
      </c>
    </row>
    <row r="64" spans="1:4" x14ac:dyDescent="0.4">
      <c r="A64" t="s">
        <v>126</v>
      </c>
      <c r="B64" s="19">
        <v>279000</v>
      </c>
      <c r="C64" s="19">
        <v>27900</v>
      </c>
    </row>
    <row r="65" spans="1:4" x14ac:dyDescent="0.4">
      <c r="A65" t="s">
        <v>128</v>
      </c>
      <c r="B65" s="19">
        <v>49811618</v>
      </c>
      <c r="C65" s="19">
        <v>4981161</v>
      </c>
      <c r="D65" s="19">
        <v>245727</v>
      </c>
    </row>
    <row r="66" spans="1:4" x14ac:dyDescent="0.4">
      <c r="A66" t="s">
        <v>130</v>
      </c>
      <c r="B66" s="19">
        <v>18932787</v>
      </c>
      <c r="C66" s="19">
        <v>1893278</v>
      </c>
    </row>
    <row r="67" spans="1:4" x14ac:dyDescent="0.4">
      <c r="A67" t="s">
        <v>132</v>
      </c>
      <c r="B67" s="19">
        <v>281183637</v>
      </c>
      <c r="C67" s="19">
        <v>28118327</v>
      </c>
    </row>
    <row r="68" spans="1:4" x14ac:dyDescent="0.4">
      <c r="A68" t="s">
        <v>134</v>
      </c>
      <c r="B68" s="19">
        <v>66382813</v>
      </c>
      <c r="C68" s="19">
        <v>6638280</v>
      </c>
      <c r="D68" s="19">
        <v>2094737</v>
      </c>
    </row>
    <row r="69" spans="1:4" x14ac:dyDescent="0.4">
      <c r="A69" t="s">
        <v>136</v>
      </c>
      <c r="B69" s="19"/>
      <c r="C69" s="19">
        <v>1868828</v>
      </c>
      <c r="D69" s="19">
        <v>302612</v>
      </c>
    </row>
    <row r="70" spans="1:4" x14ac:dyDescent="0.4">
      <c r="A70" t="s">
        <v>138</v>
      </c>
      <c r="B70" s="19">
        <v>28672461</v>
      </c>
      <c r="C70" s="19">
        <v>2867245</v>
      </c>
      <c r="D70" s="19">
        <v>16120</v>
      </c>
    </row>
    <row r="71" spans="1:4" x14ac:dyDescent="0.4">
      <c r="A71" t="s">
        <v>140</v>
      </c>
      <c r="B71" s="19">
        <v>1745713</v>
      </c>
      <c r="C71" s="19">
        <v>174571</v>
      </c>
      <c r="D71" s="19">
        <v>150000</v>
      </c>
    </row>
    <row r="72" spans="1:4" x14ac:dyDescent="0.4">
      <c r="A72" t="s">
        <v>142</v>
      </c>
      <c r="B72" s="19">
        <v>110337826</v>
      </c>
      <c r="C72" s="19">
        <v>11033782</v>
      </c>
    </row>
    <row r="73" spans="1:4" x14ac:dyDescent="0.4">
      <c r="A73" t="s">
        <v>144</v>
      </c>
      <c r="B73" s="19">
        <v>22834477</v>
      </c>
      <c r="C73" s="19">
        <v>2283448</v>
      </c>
    </row>
    <row r="74" spans="1:4" x14ac:dyDescent="0.4">
      <c r="A74" t="s">
        <v>146</v>
      </c>
      <c r="B74" s="19">
        <v>241030334</v>
      </c>
      <c r="C74" s="19">
        <v>24103040</v>
      </c>
      <c r="D74" s="19">
        <v>10618381</v>
      </c>
    </row>
    <row r="75" spans="1:4" x14ac:dyDescent="0.4">
      <c r="A75" t="s">
        <v>148</v>
      </c>
      <c r="B75" s="19">
        <v>141049</v>
      </c>
      <c r="C75" s="19">
        <v>14104</v>
      </c>
    </row>
    <row r="76" spans="1:4" x14ac:dyDescent="0.4">
      <c r="A76" t="s">
        <v>150</v>
      </c>
    </row>
    <row r="77" spans="1:4" x14ac:dyDescent="0.4">
      <c r="A77" t="s">
        <v>152</v>
      </c>
      <c r="B77" s="19">
        <v>5111168</v>
      </c>
      <c r="C77" s="19">
        <v>511116</v>
      </c>
      <c r="D77" s="19">
        <v>69510</v>
      </c>
    </row>
    <row r="78" spans="1:4" x14ac:dyDescent="0.4">
      <c r="A78" t="s">
        <v>154</v>
      </c>
      <c r="B78" s="19">
        <v>10117630</v>
      </c>
      <c r="C78" s="19">
        <v>1011763</v>
      </c>
    </row>
    <row r="79" spans="1:4" x14ac:dyDescent="0.4">
      <c r="A79" t="s">
        <v>156</v>
      </c>
      <c r="B79" s="19">
        <v>12271912</v>
      </c>
      <c r="C79" s="19">
        <v>1227191</v>
      </c>
    </row>
    <row r="80" spans="1:4" x14ac:dyDescent="0.4">
      <c r="A80" t="s">
        <v>158</v>
      </c>
      <c r="B80" s="19">
        <v>26110962</v>
      </c>
      <c r="C80" s="19">
        <v>2611096</v>
      </c>
    </row>
    <row r="81" spans="1:4" x14ac:dyDescent="0.4">
      <c r="A81" t="s">
        <v>160</v>
      </c>
      <c r="B81" s="19">
        <v>41216229</v>
      </c>
      <c r="C81" s="19">
        <v>4121623</v>
      </c>
    </row>
    <row r="82" spans="1:4" x14ac:dyDescent="0.4">
      <c r="A82" t="s">
        <v>162</v>
      </c>
      <c r="B82" s="19">
        <v>25584737</v>
      </c>
      <c r="C82" s="19">
        <v>2558473</v>
      </c>
      <c r="D82" s="19">
        <v>122460</v>
      </c>
    </row>
    <row r="83" spans="1:4" x14ac:dyDescent="0.4">
      <c r="A83" t="s">
        <v>164</v>
      </c>
      <c r="B83" s="19">
        <v>147050521</v>
      </c>
      <c r="C83" s="19">
        <v>14705038</v>
      </c>
    </row>
    <row r="84" spans="1:4" x14ac:dyDescent="0.4">
      <c r="A84" t="s">
        <v>166</v>
      </c>
      <c r="B84" s="19"/>
      <c r="C84" s="19"/>
    </row>
    <row r="85" spans="1:4" x14ac:dyDescent="0.4">
      <c r="A85" t="s">
        <v>168</v>
      </c>
      <c r="B85" s="19">
        <v>121017</v>
      </c>
      <c r="C85" s="19">
        <v>12101</v>
      </c>
    </row>
    <row r="86" spans="1:4" x14ac:dyDescent="0.4">
      <c r="A86" t="s">
        <v>170</v>
      </c>
      <c r="B86" s="19">
        <v>19063860</v>
      </c>
      <c r="C86" s="19">
        <v>1906380</v>
      </c>
      <c r="D86" s="19">
        <v>218790</v>
      </c>
    </row>
    <row r="87" spans="1:4" x14ac:dyDescent="0.4">
      <c r="A87" t="s">
        <v>172</v>
      </c>
      <c r="B87" s="19">
        <v>406852066</v>
      </c>
      <c r="C87" s="19">
        <v>40685206</v>
      </c>
      <c r="D87" s="19">
        <v>17808511</v>
      </c>
    </row>
    <row r="88" spans="1:4" x14ac:dyDescent="0.4">
      <c r="A88" t="s">
        <v>174</v>
      </c>
      <c r="B88" s="19">
        <v>6263020</v>
      </c>
      <c r="C88" s="19">
        <v>626308</v>
      </c>
      <c r="D88" s="19">
        <v>88880</v>
      </c>
    </row>
    <row r="89" spans="1:4" x14ac:dyDescent="0.4">
      <c r="A89" t="s">
        <v>176</v>
      </c>
      <c r="B89" s="19">
        <v>30849672</v>
      </c>
      <c r="C89" s="19">
        <v>3084968</v>
      </c>
    </row>
    <row r="90" spans="1:4" x14ac:dyDescent="0.4">
      <c r="A90" t="s">
        <v>178</v>
      </c>
      <c r="B90" s="19">
        <v>579640139</v>
      </c>
      <c r="C90" s="19">
        <v>57964018</v>
      </c>
      <c r="D90" s="19">
        <v>635750</v>
      </c>
    </row>
    <row r="91" spans="1:4" x14ac:dyDescent="0.4">
      <c r="A91" t="s">
        <v>180</v>
      </c>
      <c r="B91" s="19">
        <v>15595342</v>
      </c>
      <c r="C91" s="19">
        <v>1559534</v>
      </c>
      <c r="D91" s="19">
        <v>31540</v>
      </c>
    </row>
    <row r="92" spans="1:4" x14ac:dyDescent="0.4">
      <c r="A92" t="s">
        <v>182</v>
      </c>
      <c r="B92" s="19">
        <v>35182986</v>
      </c>
      <c r="C92" s="19">
        <v>3518301</v>
      </c>
    </row>
    <row r="93" spans="1:4" x14ac:dyDescent="0.4">
      <c r="A93" t="s">
        <v>184</v>
      </c>
      <c r="B93" s="19">
        <v>117795390</v>
      </c>
      <c r="C93" s="19">
        <v>11779539</v>
      </c>
    </row>
    <row r="94" spans="1:4" x14ac:dyDescent="0.4">
      <c r="A94" t="s">
        <v>186</v>
      </c>
      <c r="B94" s="19">
        <v>283325525</v>
      </c>
      <c r="C94" s="19">
        <v>28332553</v>
      </c>
    </row>
    <row r="95" spans="1:4" x14ac:dyDescent="0.4">
      <c r="A95" t="s">
        <v>188</v>
      </c>
      <c r="B95" s="19">
        <v>52920733</v>
      </c>
      <c r="C95" s="19">
        <v>5292073</v>
      </c>
    </row>
    <row r="96" spans="1:4" x14ac:dyDescent="0.4">
      <c r="A96" t="s">
        <v>190</v>
      </c>
      <c r="B96" s="19">
        <v>6796996</v>
      </c>
      <c r="C96" s="19">
        <v>679697</v>
      </c>
      <c r="D96" s="19">
        <v>753023</v>
      </c>
    </row>
    <row r="97" spans="1:4" x14ac:dyDescent="0.4">
      <c r="A97" t="s">
        <v>192</v>
      </c>
      <c r="B97" s="19"/>
      <c r="C97" s="19"/>
    </row>
    <row r="98" spans="1:4" x14ac:dyDescent="0.4">
      <c r="A98" t="s">
        <v>194</v>
      </c>
      <c r="B98" s="19">
        <v>68445688</v>
      </c>
      <c r="C98" s="19">
        <v>6844566</v>
      </c>
    </row>
    <row r="99" spans="1:4" x14ac:dyDescent="0.4">
      <c r="A99" t="s">
        <v>196</v>
      </c>
      <c r="B99" s="19">
        <v>131888590</v>
      </c>
      <c r="C99" s="19">
        <v>13188861</v>
      </c>
    </row>
    <row r="100" spans="1:4" x14ac:dyDescent="0.4">
      <c r="A100" t="s">
        <v>198</v>
      </c>
      <c r="B100" s="19">
        <v>39519042</v>
      </c>
      <c r="C100" s="19">
        <v>3951904</v>
      </c>
      <c r="D100" s="19">
        <v>109148</v>
      </c>
    </row>
    <row r="101" spans="1:4" x14ac:dyDescent="0.4">
      <c r="A101" t="s">
        <v>200</v>
      </c>
      <c r="B101" s="19">
        <v>30534272</v>
      </c>
      <c r="C101" s="19">
        <v>3053429</v>
      </c>
    </row>
    <row r="102" spans="1:4" x14ac:dyDescent="0.4">
      <c r="A102" t="s">
        <v>202</v>
      </c>
      <c r="B102" s="19">
        <v>17979201</v>
      </c>
      <c r="C102" s="19">
        <v>1797919</v>
      </c>
    </row>
    <row r="103" spans="1:4" x14ac:dyDescent="0.4">
      <c r="A103" t="s">
        <v>204</v>
      </c>
      <c r="B103" s="19">
        <v>11741978</v>
      </c>
      <c r="C103" s="19">
        <v>1174198</v>
      </c>
    </row>
    <row r="104" spans="1:4" x14ac:dyDescent="0.4">
      <c r="A104" t="s">
        <v>206</v>
      </c>
      <c r="B104" s="19">
        <v>3952447</v>
      </c>
      <c r="C104" s="19">
        <v>395245</v>
      </c>
    </row>
    <row r="105" spans="1:4" x14ac:dyDescent="0.4">
      <c r="A105" t="s">
        <v>208</v>
      </c>
      <c r="B105" s="19">
        <v>71269434</v>
      </c>
      <c r="C105" s="19">
        <v>7126943</v>
      </c>
    </row>
    <row r="106" spans="1:4" x14ac:dyDescent="0.4">
      <c r="A106" t="s">
        <v>210</v>
      </c>
      <c r="B106" s="19">
        <v>39667002</v>
      </c>
      <c r="C106" s="19">
        <v>3966701</v>
      </c>
      <c r="D106" s="19">
        <v>43305</v>
      </c>
    </row>
    <row r="107" spans="1:4" x14ac:dyDescent="0.4">
      <c r="A107" t="s">
        <v>212</v>
      </c>
      <c r="B107" s="19">
        <v>347555005</v>
      </c>
      <c r="C107" s="19">
        <v>34755501</v>
      </c>
      <c r="D107" s="19">
        <v>228140</v>
      </c>
    </row>
    <row r="108" spans="1:4" x14ac:dyDescent="0.4">
      <c r="A108" t="s">
        <v>214</v>
      </c>
    </row>
    <row r="109" spans="1:4" x14ac:dyDescent="0.4">
      <c r="A109" t="s">
        <v>216</v>
      </c>
      <c r="B109" s="19">
        <v>54249017</v>
      </c>
      <c r="C109" s="19">
        <v>5424902</v>
      </c>
      <c r="D109" s="19">
        <v>326406</v>
      </c>
    </row>
    <row r="110" spans="1:4" x14ac:dyDescent="0.4">
      <c r="A110" t="s">
        <v>218</v>
      </c>
      <c r="B110" s="19">
        <v>840217</v>
      </c>
      <c r="C110" s="19">
        <v>84022</v>
      </c>
      <c r="D110" s="19">
        <v>14960</v>
      </c>
    </row>
    <row r="111" spans="1:4" x14ac:dyDescent="0.4">
      <c r="A111" t="s">
        <v>220</v>
      </c>
      <c r="B111" s="19">
        <v>37878425</v>
      </c>
      <c r="C111" s="19">
        <v>3787844</v>
      </c>
    </row>
    <row r="112" spans="1:4" x14ac:dyDescent="0.4">
      <c r="A112" t="s">
        <v>222</v>
      </c>
      <c r="B112" s="19">
        <v>15445962</v>
      </c>
      <c r="C112" s="19">
        <v>1544595</v>
      </c>
    </row>
    <row r="113" spans="1:4" x14ac:dyDescent="0.4">
      <c r="A113" t="s">
        <v>224</v>
      </c>
      <c r="B113" s="19">
        <v>27346809</v>
      </c>
      <c r="C113" s="19">
        <v>2734683</v>
      </c>
    </row>
    <row r="114" spans="1:4" x14ac:dyDescent="0.4">
      <c r="A114" t="s">
        <v>226</v>
      </c>
      <c r="B114" s="19">
        <v>8096364</v>
      </c>
      <c r="C114" s="19">
        <v>809636</v>
      </c>
    </row>
    <row r="115" spans="1:4" x14ac:dyDescent="0.4">
      <c r="A115" t="s">
        <v>228</v>
      </c>
      <c r="B115" s="19">
        <v>4277819</v>
      </c>
      <c r="C115" s="19">
        <v>427782</v>
      </c>
    </row>
    <row r="116" spans="1:4" x14ac:dyDescent="0.4">
      <c r="A116" t="s">
        <v>230</v>
      </c>
      <c r="B116" s="19">
        <v>10858148</v>
      </c>
      <c r="C116" s="19">
        <v>1085815</v>
      </c>
    </row>
    <row r="117" spans="1:4" x14ac:dyDescent="0.4">
      <c r="A117" t="s">
        <v>232</v>
      </c>
      <c r="B117" s="19">
        <v>9171345</v>
      </c>
      <c r="C117" s="19">
        <v>917135</v>
      </c>
      <c r="D117" s="19">
        <v>161000</v>
      </c>
    </row>
    <row r="118" spans="1:4" x14ac:dyDescent="0.4">
      <c r="A118" t="s">
        <v>234</v>
      </c>
      <c r="B118" s="19">
        <v>4816830</v>
      </c>
      <c r="C118" s="19">
        <v>481683</v>
      </c>
    </row>
    <row r="119" spans="1:4" x14ac:dyDescent="0.4">
      <c r="A119" t="s">
        <v>236</v>
      </c>
      <c r="B119" s="19">
        <v>18870575</v>
      </c>
      <c r="C119" s="19">
        <v>1887057</v>
      </c>
    </row>
    <row r="120" spans="1:4" x14ac:dyDescent="0.4">
      <c r="A120" t="s">
        <v>238</v>
      </c>
      <c r="B120" s="19"/>
      <c r="C120" s="19"/>
    </row>
    <row r="121" spans="1:4" x14ac:dyDescent="0.4">
      <c r="A121" t="s">
        <v>240</v>
      </c>
      <c r="B121" s="19">
        <v>31682380</v>
      </c>
      <c r="C121" s="19">
        <v>3168239</v>
      </c>
      <c r="D121" s="19">
        <v>22321</v>
      </c>
    </row>
    <row r="122" spans="1:4" x14ac:dyDescent="0.4">
      <c r="A122" t="s">
        <v>242</v>
      </c>
      <c r="B122" s="19"/>
      <c r="C122" s="19"/>
    </row>
    <row r="123" spans="1:4" x14ac:dyDescent="0.4">
      <c r="A123" t="s">
        <v>244</v>
      </c>
      <c r="B123" s="19">
        <v>3174470</v>
      </c>
      <c r="C123" s="19">
        <v>317447</v>
      </c>
    </row>
    <row r="124" spans="1:4" x14ac:dyDescent="0.4">
      <c r="A124" t="s">
        <v>246</v>
      </c>
      <c r="B124" s="19">
        <v>5610132</v>
      </c>
      <c r="C124" s="19">
        <v>561013</v>
      </c>
    </row>
    <row r="125" spans="1:4" x14ac:dyDescent="0.4">
      <c r="A125" t="s">
        <v>248</v>
      </c>
      <c r="B125" s="19">
        <v>18151021</v>
      </c>
      <c r="C125" s="19">
        <v>1815101</v>
      </c>
      <c r="D125" s="19">
        <v>165656</v>
      </c>
    </row>
    <row r="126" spans="1:4" x14ac:dyDescent="0.4">
      <c r="A126" t="s">
        <v>250</v>
      </c>
      <c r="B126" s="19">
        <v>5464623</v>
      </c>
      <c r="C126" s="19">
        <v>546462</v>
      </c>
    </row>
    <row r="127" spans="1:4" x14ac:dyDescent="0.4">
      <c r="A127" t="s">
        <v>252</v>
      </c>
      <c r="B127" s="19">
        <v>2854132</v>
      </c>
      <c r="C127" s="19">
        <v>285413</v>
      </c>
    </row>
    <row r="128" spans="1:4" x14ac:dyDescent="0.4">
      <c r="A128" t="s">
        <v>254</v>
      </c>
      <c r="B128" s="19">
        <v>23882072</v>
      </c>
      <c r="C128" s="19">
        <v>2388207</v>
      </c>
    </row>
    <row r="129" spans="1:4" x14ac:dyDescent="0.4">
      <c r="A129" t="s">
        <v>256</v>
      </c>
      <c r="B129" s="19">
        <v>36702743</v>
      </c>
      <c r="C129" s="19">
        <v>3670273</v>
      </c>
      <c r="D129" s="19">
        <v>288000</v>
      </c>
    </row>
    <row r="130" spans="1:4" x14ac:dyDescent="0.4">
      <c r="A130" t="s">
        <v>258</v>
      </c>
      <c r="B130" s="19">
        <v>4306259</v>
      </c>
      <c r="C130" s="19">
        <v>430626</v>
      </c>
    </row>
    <row r="131" spans="1:4" x14ac:dyDescent="0.4">
      <c r="A131" t="s">
        <v>260</v>
      </c>
      <c r="B131" s="19">
        <v>68402000</v>
      </c>
      <c r="C131" s="19">
        <v>6840219</v>
      </c>
      <c r="D131" s="19">
        <v>471500</v>
      </c>
    </row>
    <row r="132" spans="1:4" x14ac:dyDescent="0.4">
      <c r="A132" t="s">
        <v>262</v>
      </c>
      <c r="B132" s="19">
        <v>26149165</v>
      </c>
      <c r="C132" s="19">
        <v>2614915</v>
      </c>
    </row>
    <row r="133" spans="1:4" x14ac:dyDescent="0.4">
      <c r="A133" t="s">
        <v>264</v>
      </c>
      <c r="B133" s="19">
        <v>-4678</v>
      </c>
      <c r="C133" s="19">
        <v>-467</v>
      </c>
    </row>
    <row r="134" spans="1:4" x14ac:dyDescent="0.4">
      <c r="A134" t="s">
        <v>266</v>
      </c>
      <c r="B134" s="19">
        <v>14746000</v>
      </c>
      <c r="C134" s="19">
        <v>1474600</v>
      </c>
    </row>
    <row r="135" spans="1:4" x14ac:dyDescent="0.4">
      <c r="A135" t="s">
        <v>268</v>
      </c>
      <c r="B135" s="19">
        <v>7845747</v>
      </c>
      <c r="C135" s="19">
        <v>784575</v>
      </c>
    </row>
    <row r="136" spans="1:4" x14ac:dyDescent="0.4">
      <c r="A136" t="s">
        <v>270</v>
      </c>
      <c r="B136" s="19"/>
      <c r="C136" s="19"/>
    </row>
    <row r="137" spans="1:4" x14ac:dyDescent="0.4">
      <c r="A137" t="s">
        <v>272</v>
      </c>
      <c r="B137" s="19">
        <v>19932789</v>
      </c>
      <c r="C137" s="19">
        <v>1993278</v>
      </c>
      <c r="D137" s="19">
        <v>74520</v>
      </c>
    </row>
    <row r="138" spans="1:4" x14ac:dyDescent="0.4">
      <c r="A138" t="s">
        <v>274</v>
      </c>
      <c r="B138" s="19">
        <v>5014557</v>
      </c>
      <c r="C138" s="19">
        <v>501456</v>
      </c>
    </row>
    <row r="139" spans="1:4" x14ac:dyDescent="0.4">
      <c r="A139" t="s">
        <v>276</v>
      </c>
      <c r="B139" s="19">
        <v>28043251</v>
      </c>
      <c r="C139" s="19">
        <v>2804326</v>
      </c>
    </row>
    <row r="140" spans="1:4" x14ac:dyDescent="0.4">
      <c r="A140" t="s">
        <v>278</v>
      </c>
      <c r="B140" s="19">
        <v>40147547</v>
      </c>
      <c r="C140" s="19">
        <v>4014754</v>
      </c>
      <c r="D140" s="19">
        <v>158037</v>
      </c>
    </row>
    <row r="141" spans="1:4" x14ac:dyDescent="0.4">
      <c r="A141" t="s">
        <v>280</v>
      </c>
      <c r="B141" s="19">
        <v>2596634</v>
      </c>
      <c r="C141" s="19">
        <v>259663</v>
      </c>
    </row>
    <row r="142" spans="1:4" x14ac:dyDescent="0.4">
      <c r="A142" t="s">
        <v>282</v>
      </c>
      <c r="B142" s="19">
        <v>4464737</v>
      </c>
      <c r="C142" s="19">
        <v>446474</v>
      </c>
    </row>
    <row r="143" spans="1:4" x14ac:dyDescent="0.4">
      <c r="A143" t="s">
        <v>284</v>
      </c>
      <c r="B143" s="19">
        <v>41200</v>
      </c>
      <c r="C143" s="19">
        <v>4120</v>
      </c>
    </row>
    <row r="144" spans="1:4" x14ac:dyDescent="0.4">
      <c r="A144" t="s">
        <v>286</v>
      </c>
      <c r="B144" s="19">
        <v>69459708</v>
      </c>
      <c r="C144" s="19">
        <v>6945970</v>
      </c>
      <c r="D144" s="19">
        <v>41383</v>
      </c>
    </row>
    <row r="145" spans="1:4" x14ac:dyDescent="0.4">
      <c r="A145" t="s">
        <v>288</v>
      </c>
      <c r="B145" s="19">
        <v>3769548</v>
      </c>
      <c r="C145" s="19">
        <v>376954</v>
      </c>
    </row>
    <row r="146" spans="1:4" x14ac:dyDescent="0.4">
      <c r="A146" t="s">
        <v>290</v>
      </c>
      <c r="B146" s="19">
        <v>78583222</v>
      </c>
      <c r="C146" s="19">
        <v>7858324</v>
      </c>
    </row>
    <row r="147" spans="1:4" x14ac:dyDescent="0.4">
      <c r="A147" t="s">
        <v>292</v>
      </c>
      <c r="B147" s="19">
        <v>86667160</v>
      </c>
      <c r="C147" s="19">
        <v>8666717</v>
      </c>
    </row>
    <row r="148" spans="1:4" x14ac:dyDescent="0.4">
      <c r="A148" t="s">
        <v>294</v>
      </c>
      <c r="B148" s="19">
        <v>13504278</v>
      </c>
      <c r="C148" s="19">
        <v>1350425</v>
      </c>
      <c r="D148" s="19">
        <v>54274</v>
      </c>
    </row>
    <row r="149" spans="1:4" x14ac:dyDescent="0.4">
      <c r="A149" t="s">
        <v>296</v>
      </c>
      <c r="B149" s="19">
        <v>12938029</v>
      </c>
      <c r="C149" s="19">
        <v>1293799</v>
      </c>
    </row>
    <row r="150" spans="1:4" x14ac:dyDescent="0.4">
      <c r="A150" t="s">
        <v>298</v>
      </c>
      <c r="B150" s="19">
        <v>14673017</v>
      </c>
      <c r="C150" s="19">
        <v>1467301</v>
      </c>
    </row>
    <row r="151" spans="1:4" x14ac:dyDescent="0.4">
      <c r="A151" t="s">
        <v>300</v>
      </c>
      <c r="B151" s="19">
        <v>2299074</v>
      </c>
      <c r="C151" s="19">
        <v>229907</v>
      </c>
    </row>
    <row r="152" spans="1:4" x14ac:dyDescent="0.4">
      <c r="A152" t="s">
        <v>302</v>
      </c>
      <c r="B152" s="19">
        <v>162446</v>
      </c>
      <c r="C152" s="19">
        <v>16244</v>
      </c>
    </row>
    <row r="153" spans="1:4" x14ac:dyDescent="0.4">
      <c r="A153" t="s">
        <v>304</v>
      </c>
      <c r="B153" s="19">
        <v>12814630</v>
      </c>
      <c r="C153" s="19">
        <v>1281465</v>
      </c>
      <c r="D153" s="19">
        <v>99870</v>
      </c>
    </row>
    <row r="154" spans="1:4" x14ac:dyDescent="0.4">
      <c r="A154" t="s">
        <v>306</v>
      </c>
      <c r="B154" s="19">
        <v>46612073</v>
      </c>
      <c r="C154" s="19">
        <v>4661208</v>
      </c>
      <c r="D154" s="19">
        <v>74600</v>
      </c>
    </row>
    <row r="155" spans="1:4" x14ac:dyDescent="0.4">
      <c r="A155" t="s">
        <v>308</v>
      </c>
      <c r="B155" s="19">
        <v>24143135</v>
      </c>
      <c r="C155" s="19">
        <v>2414313</v>
      </c>
      <c r="D155" s="19">
        <v>25200</v>
      </c>
    </row>
    <row r="156" spans="1:4" x14ac:dyDescent="0.4">
      <c r="A156" t="s">
        <v>310</v>
      </c>
      <c r="B156" s="19">
        <v>10812876</v>
      </c>
      <c r="C156" s="19">
        <v>1081289</v>
      </c>
      <c r="D156" s="19">
        <v>1270378</v>
      </c>
    </row>
    <row r="157" spans="1:4" x14ac:dyDescent="0.4">
      <c r="A157" t="s">
        <v>312</v>
      </c>
      <c r="B157" s="19">
        <v>35867138</v>
      </c>
      <c r="C157" s="19">
        <v>3586714</v>
      </c>
      <c r="D157" s="19">
        <v>2279593</v>
      </c>
    </row>
    <row r="158" spans="1:4" x14ac:dyDescent="0.4">
      <c r="A158" t="s">
        <v>314</v>
      </c>
      <c r="B158" s="19">
        <v>22760699</v>
      </c>
      <c r="C158" s="19">
        <v>2276070</v>
      </c>
      <c r="D158" s="19">
        <v>11715</v>
      </c>
    </row>
    <row r="159" spans="1:4" x14ac:dyDescent="0.4">
      <c r="A159" t="s">
        <v>316</v>
      </c>
      <c r="B159" s="19"/>
      <c r="C159" s="19"/>
    </row>
    <row r="160" spans="1:4" x14ac:dyDescent="0.4">
      <c r="A160" t="s">
        <v>318</v>
      </c>
      <c r="B160" s="19">
        <v>6776204</v>
      </c>
      <c r="C160" s="19">
        <v>677619</v>
      </c>
      <c r="D160" s="19">
        <v>594297</v>
      </c>
    </row>
    <row r="161" spans="1:4" x14ac:dyDescent="0.4">
      <c r="A161" t="s">
        <v>320</v>
      </c>
      <c r="B161" s="19">
        <v>36613801</v>
      </c>
      <c r="C161" s="19">
        <v>3661380</v>
      </c>
    </row>
    <row r="162" spans="1:4" x14ac:dyDescent="0.4">
      <c r="A162" t="s">
        <v>322</v>
      </c>
      <c r="B162" s="19">
        <v>10083175</v>
      </c>
      <c r="C162" s="19">
        <v>1008318</v>
      </c>
      <c r="D162" s="19">
        <v>20720</v>
      </c>
    </row>
    <row r="163" spans="1:4" x14ac:dyDescent="0.4">
      <c r="A163" t="s">
        <v>324</v>
      </c>
      <c r="B163" s="19">
        <v>8079276</v>
      </c>
      <c r="C163" s="19">
        <v>807929</v>
      </c>
      <c r="D163" s="19">
        <v>396246</v>
      </c>
    </row>
    <row r="164" spans="1:4" x14ac:dyDescent="0.4">
      <c r="A164" t="s">
        <v>326</v>
      </c>
      <c r="B164" s="19">
        <v>14919146</v>
      </c>
      <c r="C164" s="19">
        <v>1491915</v>
      </c>
      <c r="D164" s="19">
        <v>50682</v>
      </c>
    </row>
    <row r="165" spans="1:4" x14ac:dyDescent="0.4">
      <c r="A165" t="s">
        <v>328</v>
      </c>
      <c r="B165" s="19">
        <v>22633825</v>
      </c>
      <c r="C165" s="19">
        <v>2263382</v>
      </c>
      <c r="D165" s="19">
        <v>13713</v>
      </c>
    </row>
    <row r="166" spans="1:4" x14ac:dyDescent="0.4">
      <c r="A166" t="s">
        <v>330</v>
      </c>
      <c r="B166" s="19">
        <v>3131934</v>
      </c>
      <c r="C166" s="19">
        <v>313194</v>
      </c>
    </row>
    <row r="167" spans="1:4" x14ac:dyDescent="0.4">
      <c r="A167" t="s">
        <v>332</v>
      </c>
      <c r="B167" s="19">
        <v>203414715</v>
      </c>
      <c r="C167" s="19">
        <v>20341458</v>
      </c>
    </row>
    <row r="168" spans="1:4" x14ac:dyDescent="0.4">
      <c r="A168" t="s">
        <v>333</v>
      </c>
      <c r="B168" s="19">
        <v>47845355</v>
      </c>
      <c r="C168" s="19">
        <v>4784536</v>
      </c>
      <c r="D168" s="19">
        <v>8437</v>
      </c>
    </row>
    <row r="169" spans="1:4" x14ac:dyDescent="0.4">
      <c r="A169" t="s">
        <v>335</v>
      </c>
      <c r="B169" s="19"/>
      <c r="C169" s="19"/>
    </row>
    <row r="170" spans="1:4" x14ac:dyDescent="0.4">
      <c r="A170" t="s">
        <v>337</v>
      </c>
      <c r="B170" s="19">
        <v>3774053</v>
      </c>
      <c r="C170" s="19">
        <v>377405</v>
      </c>
      <c r="D170" s="19">
        <v>216246</v>
      </c>
    </row>
    <row r="171" spans="1:4" x14ac:dyDescent="0.4">
      <c r="A171" t="s">
        <v>339</v>
      </c>
      <c r="B171" s="19">
        <v>1024061</v>
      </c>
      <c r="C171" s="19">
        <v>102406</v>
      </c>
    </row>
    <row r="172" spans="1:4" x14ac:dyDescent="0.4">
      <c r="A172" t="s">
        <v>341</v>
      </c>
      <c r="B172" s="19">
        <v>140000</v>
      </c>
      <c r="C172" s="19">
        <v>14000</v>
      </c>
    </row>
    <row r="173" spans="1:4" x14ac:dyDescent="0.4">
      <c r="A173" t="s">
        <v>343</v>
      </c>
      <c r="B173" s="19">
        <v>23441809</v>
      </c>
      <c r="C173" s="19">
        <v>2344181</v>
      </c>
    </row>
    <row r="174" spans="1:4" x14ac:dyDescent="0.4">
      <c r="A174" t="s">
        <v>345</v>
      </c>
      <c r="B174" s="19">
        <v>13814696</v>
      </c>
      <c r="C174" s="19">
        <v>1381470</v>
      </c>
    </row>
    <row r="175" spans="1:4" x14ac:dyDescent="0.4">
      <c r="A175" t="s">
        <v>347</v>
      </c>
      <c r="B175" s="19">
        <v>93175385</v>
      </c>
      <c r="C175" s="19">
        <v>9317538</v>
      </c>
    </row>
    <row r="176" spans="1:4" x14ac:dyDescent="0.4">
      <c r="A176" t="s">
        <v>349</v>
      </c>
      <c r="B176" s="19">
        <v>43544493</v>
      </c>
      <c r="C176" s="19">
        <v>4354470</v>
      </c>
    </row>
    <row r="177" spans="1:4" x14ac:dyDescent="0.4">
      <c r="A177" t="s">
        <v>351</v>
      </c>
      <c r="B177" s="19">
        <v>16312634</v>
      </c>
      <c r="C177" s="19">
        <v>1631263</v>
      </c>
    </row>
    <row r="178" spans="1:4" x14ac:dyDescent="0.4">
      <c r="A178" t="s">
        <v>353</v>
      </c>
      <c r="B178" s="19">
        <v>52848245</v>
      </c>
      <c r="C178" s="19">
        <v>5225824</v>
      </c>
      <c r="D178" s="19">
        <v>1283228</v>
      </c>
    </row>
    <row r="179" spans="1:4" x14ac:dyDescent="0.4">
      <c r="A179" t="s">
        <v>355</v>
      </c>
      <c r="B179" s="19">
        <v>83447858</v>
      </c>
      <c r="C179" s="19">
        <v>8344786</v>
      </c>
    </row>
    <row r="180" spans="1:4" x14ac:dyDescent="0.4">
      <c r="A180" t="s">
        <v>357</v>
      </c>
      <c r="B180" s="19">
        <v>1134837221</v>
      </c>
      <c r="C180" s="19">
        <v>113483723</v>
      </c>
      <c r="D180" s="19">
        <v>98648</v>
      </c>
    </row>
    <row r="181" spans="1:4" x14ac:dyDescent="0.4">
      <c r="A181" t="s">
        <v>359</v>
      </c>
      <c r="B181" s="19">
        <v>332074056</v>
      </c>
      <c r="C181" s="19">
        <v>33207405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Views>
    <sheetView workbookViewId="0">
      <selection activeCell="B10" sqref="B10:C10"/>
    </sheetView>
  </sheetViews>
  <sheetFormatPr defaultRowHeight="17.399999999999999" x14ac:dyDescent="0.4"/>
  <cols>
    <col min="1" max="1" width="6.09765625" bestFit="1" customWidth="1"/>
    <col min="2" max="2" width="15" bestFit="1" customWidth="1"/>
    <col min="3" max="3" width="13.8984375" bestFit="1" customWidth="1"/>
    <col min="5" max="5" width="6.796875" bestFit="1" customWidth="1"/>
    <col min="6" max="6" width="12.796875" bestFit="1" customWidth="1"/>
  </cols>
  <sheetData>
    <row r="1" spans="1:6" x14ac:dyDescent="0.4">
      <c r="A1" s="20" t="s">
        <v>553</v>
      </c>
      <c r="B1" s="21"/>
      <c r="C1" s="21"/>
      <c r="D1" s="2"/>
      <c r="E1" s="22" t="s">
        <v>545</v>
      </c>
      <c r="F1" s="23"/>
    </row>
    <row r="2" spans="1:6" x14ac:dyDescent="0.4">
      <c r="A2" s="6" t="s">
        <v>551</v>
      </c>
      <c r="B2" s="6" t="s">
        <v>552</v>
      </c>
      <c r="C2" s="6" t="s">
        <v>544</v>
      </c>
      <c r="D2" s="2"/>
      <c r="E2" s="5" t="s">
        <v>551</v>
      </c>
      <c r="F2" s="5" t="s">
        <v>546</v>
      </c>
    </row>
    <row r="3" spans="1:6" x14ac:dyDescent="0.4">
      <c r="A3" s="4" t="s">
        <v>2</v>
      </c>
      <c r="B3" s="16">
        <v>23236</v>
      </c>
      <c r="C3" s="16">
        <v>2323</v>
      </c>
      <c r="E3" s="4" t="s">
        <v>4</v>
      </c>
      <c r="F3" s="7">
        <v>2200255</v>
      </c>
    </row>
    <row r="4" spans="1:6" x14ac:dyDescent="0.4">
      <c r="A4" s="4" t="s">
        <v>4</v>
      </c>
      <c r="B4" s="7">
        <v>197097354</v>
      </c>
      <c r="C4" s="7">
        <v>19709734</v>
      </c>
      <c r="E4" s="4" t="s">
        <v>16</v>
      </c>
      <c r="F4" s="7">
        <v>1469257510</v>
      </c>
    </row>
    <row r="5" spans="1:6" x14ac:dyDescent="0.4">
      <c r="A5" s="4" t="s">
        <v>8</v>
      </c>
      <c r="B5" s="7">
        <v>1800</v>
      </c>
      <c r="C5" s="4">
        <v>180</v>
      </c>
      <c r="E5" s="4" t="s">
        <v>18</v>
      </c>
      <c r="F5" s="7">
        <v>683444019</v>
      </c>
    </row>
    <row r="6" spans="1:6" x14ac:dyDescent="0.4">
      <c r="A6" s="4" t="s">
        <v>10</v>
      </c>
      <c r="B6" s="7">
        <v>675098</v>
      </c>
      <c r="C6" s="7">
        <v>67510</v>
      </c>
      <c r="E6" s="4" t="s">
        <v>20</v>
      </c>
      <c r="F6" s="7">
        <v>244000</v>
      </c>
    </row>
    <row r="7" spans="1:6" x14ac:dyDescent="0.4">
      <c r="A7" s="4" t="s">
        <v>12</v>
      </c>
      <c r="B7" s="7">
        <v>5379143</v>
      </c>
      <c r="C7" s="7">
        <v>537914</v>
      </c>
      <c r="E7" s="4" t="s">
        <v>26</v>
      </c>
      <c r="F7" s="7">
        <v>158200</v>
      </c>
    </row>
    <row r="8" spans="1:6" x14ac:dyDescent="0.4">
      <c r="A8" s="4" t="s">
        <v>14</v>
      </c>
      <c r="B8" s="7">
        <v>56842402</v>
      </c>
      <c r="C8" s="7">
        <v>5684240</v>
      </c>
      <c r="E8" s="4" t="s">
        <v>30</v>
      </c>
      <c r="F8" s="7">
        <v>5599</v>
      </c>
    </row>
    <row r="9" spans="1:6" x14ac:dyDescent="0.4">
      <c r="A9" s="4" t="s">
        <v>16</v>
      </c>
      <c r="B9" s="7">
        <v>4044074516</v>
      </c>
      <c r="C9" s="7">
        <v>403763747</v>
      </c>
      <c r="E9" s="4" t="s">
        <v>50</v>
      </c>
      <c r="F9" s="7">
        <v>337892</v>
      </c>
    </row>
    <row r="10" spans="1:6" x14ac:dyDescent="0.4">
      <c r="A10" s="4" t="s">
        <v>18</v>
      </c>
      <c r="B10" s="7">
        <v>53632475455</v>
      </c>
      <c r="C10" s="7">
        <v>5323825402</v>
      </c>
      <c r="E10" s="4" t="s">
        <v>52</v>
      </c>
      <c r="F10" s="7">
        <v>263000</v>
      </c>
    </row>
    <row r="11" spans="1:6" x14ac:dyDescent="0.4">
      <c r="A11" s="4" t="s">
        <v>20</v>
      </c>
      <c r="B11" s="7">
        <v>30507487</v>
      </c>
      <c r="C11" s="7">
        <v>3050752</v>
      </c>
      <c r="E11" s="4" t="s">
        <v>54</v>
      </c>
      <c r="F11" s="7">
        <v>18438</v>
      </c>
    </row>
    <row r="12" spans="1:6" x14ac:dyDescent="0.4">
      <c r="A12" s="4" t="s">
        <v>22</v>
      </c>
      <c r="B12" s="7">
        <v>25220022</v>
      </c>
      <c r="C12" s="7">
        <v>2522001</v>
      </c>
      <c r="E12" s="4" t="s">
        <v>60</v>
      </c>
      <c r="F12" s="7">
        <v>4181</v>
      </c>
    </row>
    <row r="13" spans="1:6" x14ac:dyDescent="0.4">
      <c r="A13" s="4" t="s">
        <v>24</v>
      </c>
      <c r="B13" s="7">
        <v>23253591</v>
      </c>
      <c r="C13" s="7">
        <v>2325358</v>
      </c>
      <c r="E13" s="4" t="s">
        <v>62</v>
      </c>
      <c r="F13" s="7">
        <v>72964</v>
      </c>
    </row>
    <row r="14" spans="1:6" x14ac:dyDescent="0.4">
      <c r="A14" s="4" t="s">
        <v>26</v>
      </c>
      <c r="B14" s="7">
        <v>50474384</v>
      </c>
      <c r="C14" s="7">
        <v>5047439</v>
      </c>
      <c r="E14" s="4" t="s">
        <v>74</v>
      </c>
      <c r="F14" s="7">
        <v>6309</v>
      </c>
    </row>
    <row r="15" spans="1:6" x14ac:dyDescent="0.4">
      <c r="A15" s="4" t="s">
        <v>28</v>
      </c>
      <c r="B15" s="7">
        <v>16820791</v>
      </c>
      <c r="C15" s="7">
        <v>1682079</v>
      </c>
      <c r="E15" s="4" t="s">
        <v>76</v>
      </c>
      <c r="F15" s="7">
        <v>104679</v>
      </c>
    </row>
    <row r="16" spans="1:6" x14ac:dyDescent="0.4">
      <c r="A16" s="4" t="s">
        <v>30</v>
      </c>
      <c r="B16" s="7">
        <v>15911235</v>
      </c>
      <c r="C16" s="7">
        <v>1591058</v>
      </c>
      <c r="E16" s="4" t="s">
        <v>80</v>
      </c>
      <c r="F16" s="7">
        <v>1290900</v>
      </c>
    </row>
    <row r="17" spans="1:6" x14ac:dyDescent="0.4">
      <c r="A17" s="4" t="s">
        <v>32</v>
      </c>
      <c r="B17" s="7">
        <v>21836784</v>
      </c>
      <c r="C17" s="7">
        <v>2183678</v>
      </c>
      <c r="E17" s="4" t="s">
        <v>86</v>
      </c>
      <c r="F17" s="7">
        <v>44295</v>
      </c>
    </row>
    <row r="18" spans="1:6" x14ac:dyDescent="0.4">
      <c r="A18" s="4" t="s">
        <v>36</v>
      </c>
      <c r="B18" s="7">
        <v>115668354</v>
      </c>
      <c r="C18" s="7">
        <v>11566851</v>
      </c>
      <c r="E18" s="4" t="s">
        <v>96</v>
      </c>
      <c r="F18" s="7">
        <v>1277539</v>
      </c>
    </row>
    <row r="19" spans="1:6" x14ac:dyDescent="0.4">
      <c r="A19" s="4" t="s">
        <v>38</v>
      </c>
      <c r="B19" s="7">
        <v>2499599</v>
      </c>
      <c r="C19" s="7">
        <v>249959</v>
      </c>
      <c r="E19" s="4" t="s">
        <v>102</v>
      </c>
      <c r="F19" s="7">
        <v>379879</v>
      </c>
    </row>
    <row r="20" spans="1:6" x14ac:dyDescent="0.4">
      <c r="A20" s="4" t="s">
        <v>40</v>
      </c>
      <c r="B20" s="7">
        <v>420000</v>
      </c>
      <c r="C20" s="7">
        <v>42000</v>
      </c>
      <c r="E20" s="4" t="s">
        <v>106</v>
      </c>
      <c r="F20" s="7">
        <v>42587</v>
      </c>
    </row>
    <row r="21" spans="1:6" x14ac:dyDescent="0.4">
      <c r="A21" s="4" t="s">
        <v>42</v>
      </c>
      <c r="B21" s="7">
        <v>15022353</v>
      </c>
      <c r="C21" s="7">
        <v>1502234</v>
      </c>
      <c r="E21" s="4" t="s">
        <v>108</v>
      </c>
      <c r="F21" s="7">
        <v>70520</v>
      </c>
    </row>
    <row r="22" spans="1:6" x14ac:dyDescent="0.4">
      <c r="A22" s="4" t="s">
        <v>44</v>
      </c>
      <c r="B22" s="7">
        <v>50540618</v>
      </c>
      <c r="C22" s="7">
        <v>5054061</v>
      </c>
      <c r="E22" s="4" t="s">
        <v>116</v>
      </c>
      <c r="F22" s="7">
        <v>483864</v>
      </c>
    </row>
    <row r="23" spans="1:6" x14ac:dyDescent="0.4">
      <c r="A23" s="4" t="s">
        <v>48</v>
      </c>
      <c r="B23" s="7">
        <v>380545455</v>
      </c>
      <c r="C23" s="7">
        <v>38054545</v>
      </c>
      <c r="E23" s="4" t="s">
        <v>118</v>
      </c>
      <c r="F23" s="7">
        <v>25840</v>
      </c>
    </row>
    <row r="24" spans="1:6" x14ac:dyDescent="0.4">
      <c r="A24" s="4" t="s">
        <v>50</v>
      </c>
      <c r="B24" s="7">
        <v>33332206</v>
      </c>
      <c r="C24" s="7">
        <v>3333221</v>
      </c>
      <c r="E24" s="4" t="s">
        <v>124</v>
      </c>
      <c r="F24" s="7">
        <v>437574</v>
      </c>
    </row>
    <row r="25" spans="1:6" x14ac:dyDescent="0.4">
      <c r="A25" s="4" t="s">
        <v>52</v>
      </c>
      <c r="B25" s="7">
        <v>72092543</v>
      </c>
      <c r="C25" s="7">
        <v>7209254</v>
      </c>
      <c r="E25" s="4" t="s">
        <v>128</v>
      </c>
      <c r="F25" s="7">
        <v>245727</v>
      </c>
    </row>
    <row r="26" spans="1:6" x14ac:dyDescent="0.4">
      <c r="A26" s="4" t="s">
        <v>54</v>
      </c>
      <c r="B26" s="7">
        <v>61720120</v>
      </c>
      <c r="C26" s="7">
        <v>6172012</v>
      </c>
      <c r="E26" s="4" t="s">
        <v>134</v>
      </c>
      <c r="F26" s="7">
        <v>2094737</v>
      </c>
    </row>
    <row r="27" spans="1:6" x14ac:dyDescent="0.4">
      <c r="A27" s="4" t="s">
        <v>56</v>
      </c>
      <c r="B27" s="7">
        <v>36493023</v>
      </c>
      <c r="C27" s="7">
        <v>3649302</v>
      </c>
      <c r="E27" s="4" t="s">
        <v>136</v>
      </c>
      <c r="F27" s="7">
        <v>302612</v>
      </c>
    </row>
    <row r="28" spans="1:6" x14ac:dyDescent="0.4">
      <c r="A28" s="4" t="s">
        <v>58</v>
      </c>
      <c r="B28" s="7">
        <v>204020539</v>
      </c>
      <c r="C28" s="7">
        <v>20402056</v>
      </c>
      <c r="E28" s="4" t="s">
        <v>138</v>
      </c>
      <c r="F28" s="7">
        <v>16120</v>
      </c>
    </row>
    <row r="29" spans="1:6" x14ac:dyDescent="0.4">
      <c r="A29" s="4" t="s">
        <v>60</v>
      </c>
      <c r="B29" s="7">
        <v>70797053</v>
      </c>
      <c r="C29" s="7">
        <v>7079706</v>
      </c>
      <c r="E29" s="4" t="s">
        <v>140</v>
      </c>
      <c r="F29" s="7">
        <v>150000</v>
      </c>
    </row>
    <row r="30" spans="1:6" x14ac:dyDescent="0.4">
      <c r="A30" s="4" t="s">
        <v>62</v>
      </c>
      <c r="B30" s="7">
        <v>70964411</v>
      </c>
      <c r="C30" s="7">
        <v>7096437</v>
      </c>
      <c r="E30" s="4" t="s">
        <v>146</v>
      </c>
      <c r="F30" s="7">
        <v>10618381</v>
      </c>
    </row>
    <row r="31" spans="1:6" x14ac:dyDescent="0.4">
      <c r="A31" s="4" t="s">
        <v>64</v>
      </c>
      <c r="B31" s="7">
        <v>152475553</v>
      </c>
      <c r="C31" s="7">
        <v>15247561</v>
      </c>
      <c r="E31" s="4" t="s">
        <v>152</v>
      </c>
      <c r="F31" s="7">
        <v>69510</v>
      </c>
    </row>
    <row r="32" spans="1:6" x14ac:dyDescent="0.4">
      <c r="A32" s="4" t="s">
        <v>66</v>
      </c>
      <c r="B32" s="7">
        <v>36668460</v>
      </c>
      <c r="C32" s="7">
        <v>3666845</v>
      </c>
      <c r="E32" s="4" t="s">
        <v>162</v>
      </c>
      <c r="F32" s="7">
        <v>122460</v>
      </c>
    </row>
    <row r="33" spans="1:6" x14ac:dyDescent="0.4">
      <c r="A33" s="4" t="s">
        <v>68</v>
      </c>
      <c r="B33" s="7">
        <v>83816687</v>
      </c>
      <c r="C33" s="7">
        <v>8381670</v>
      </c>
      <c r="E33" s="4" t="s">
        <v>170</v>
      </c>
      <c r="F33" s="7">
        <v>218790</v>
      </c>
    </row>
    <row r="34" spans="1:6" x14ac:dyDescent="0.4">
      <c r="A34" s="4" t="s">
        <v>70</v>
      </c>
      <c r="B34" s="7">
        <v>439843</v>
      </c>
      <c r="C34" s="7">
        <v>43984</v>
      </c>
      <c r="E34" s="4" t="s">
        <v>172</v>
      </c>
      <c r="F34" s="7">
        <v>17808511</v>
      </c>
    </row>
    <row r="35" spans="1:6" x14ac:dyDescent="0.4">
      <c r="A35" s="4" t="s">
        <v>74</v>
      </c>
      <c r="B35" s="7">
        <v>44504700</v>
      </c>
      <c r="C35" s="7">
        <v>4450472</v>
      </c>
      <c r="E35" s="4" t="s">
        <v>174</v>
      </c>
      <c r="F35" s="7">
        <v>88880</v>
      </c>
    </row>
    <row r="36" spans="1:6" x14ac:dyDescent="0.4">
      <c r="A36" s="4" t="s">
        <v>76</v>
      </c>
      <c r="B36" s="7">
        <v>16433756</v>
      </c>
      <c r="C36" s="7">
        <v>1643373</v>
      </c>
      <c r="E36" s="4" t="s">
        <v>178</v>
      </c>
      <c r="F36" s="7">
        <v>635750</v>
      </c>
    </row>
    <row r="37" spans="1:6" x14ac:dyDescent="0.4">
      <c r="A37" s="4" t="s">
        <v>78</v>
      </c>
      <c r="B37" s="7">
        <v>5910353</v>
      </c>
      <c r="C37" s="7">
        <v>591035</v>
      </c>
      <c r="E37" s="4" t="s">
        <v>180</v>
      </c>
      <c r="F37" s="7">
        <v>31540</v>
      </c>
    </row>
    <row r="38" spans="1:6" x14ac:dyDescent="0.4">
      <c r="A38" s="4" t="s">
        <v>80</v>
      </c>
      <c r="B38" s="7">
        <v>184917964</v>
      </c>
      <c r="C38" s="7">
        <v>18491794</v>
      </c>
      <c r="E38" s="4" t="s">
        <v>190</v>
      </c>
      <c r="F38" s="7">
        <v>753023</v>
      </c>
    </row>
    <row r="39" spans="1:6" x14ac:dyDescent="0.4">
      <c r="A39" s="4" t="s">
        <v>82</v>
      </c>
      <c r="B39" s="7">
        <v>15424176</v>
      </c>
      <c r="C39" s="7">
        <v>1542418</v>
      </c>
      <c r="E39" s="4" t="s">
        <v>198</v>
      </c>
      <c r="F39" s="7">
        <v>109148</v>
      </c>
    </row>
    <row r="40" spans="1:6" x14ac:dyDescent="0.4">
      <c r="A40" s="4" t="s">
        <v>84</v>
      </c>
      <c r="B40" s="7">
        <v>47194023</v>
      </c>
      <c r="C40" s="7">
        <v>4719400</v>
      </c>
      <c r="E40" s="4" t="s">
        <v>210</v>
      </c>
      <c r="F40" s="7">
        <v>43305</v>
      </c>
    </row>
    <row r="41" spans="1:6" x14ac:dyDescent="0.4">
      <c r="A41" s="4" t="s">
        <v>86</v>
      </c>
      <c r="B41" s="7">
        <v>84010540</v>
      </c>
      <c r="C41" s="7">
        <v>8401048</v>
      </c>
      <c r="E41" s="4" t="s">
        <v>212</v>
      </c>
      <c r="F41" s="7">
        <v>228140</v>
      </c>
    </row>
    <row r="42" spans="1:6" x14ac:dyDescent="0.4">
      <c r="A42" s="4" t="s">
        <v>88</v>
      </c>
      <c r="B42" s="7">
        <v>19351389</v>
      </c>
      <c r="C42" s="7">
        <v>1935138</v>
      </c>
      <c r="E42" s="4" t="s">
        <v>216</v>
      </c>
      <c r="F42" s="7">
        <v>326406</v>
      </c>
    </row>
    <row r="43" spans="1:6" x14ac:dyDescent="0.4">
      <c r="A43" s="4" t="s">
        <v>90</v>
      </c>
      <c r="B43" s="7">
        <v>10900704</v>
      </c>
      <c r="C43" s="7">
        <v>1090070</v>
      </c>
      <c r="E43" s="4" t="s">
        <v>218</v>
      </c>
      <c r="F43" s="7">
        <v>14960</v>
      </c>
    </row>
    <row r="44" spans="1:6" x14ac:dyDescent="0.4">
      <c r="A44" s="4" t="s">
        <v>94</v>
      </c>
      <c r="B44" s="7">
        <v>14426909</v>
      </c>
      <c r="C44" s="7">
        <v>1442691</v>
      </c>
      <c r="E44" s="4" t="s">
        <v>232</v>
      </c>
      <c r="F44" s="7">
        <v>161000</v>
      </c>
    </row>
    <row r="45" spans="1:6" x14ac:dyDescent="0.4">
      <c r="A45" s="4" t="s">
        <v>96</v>
      </c>
      <c r="B45" s="7">
        <v>22093547</v>
      </c>
      <c r="C45" s="7">
        <v>2209359</v>
      </c>
      <c r="E45" s="4" t="s">
        <v>240</v>
      </c>
      <c r="F45" s="7">
        <v>22321</v>
      </c>
    </row>
    <row r="46" spans="1:6" x14ac:dyDescent="0.4">
      <c r="A46" s="4" t="s">
        <v>98</v>
      </c>
      <c r="B46" s="7">
        <v>68794311</v>
      </c>
      <c r="C46" s="7">
        <v>6879431</v>
      </c>
      <c r="E46" s="4" t="s">
        <v>248</v>
      </c>
      <c r="F46" s="7">
        <v>165656</v>
      </c>
    </row>
    <row r="47" spans="1:6" x14ac:dyDescent="0.4">
      <c r="A47" s="4" t="s">
        <v>100</v>
      </c>
      <c r="B47" s="7">
        <v>12689055</v>
      </c>
      <c r="C47" s="7">
        <v>1268905</v>
      </c>
      <c r="E47" s="4" t="s">
        <v>256</v>
      </c>
      <c r="F47" s="7">
        <v>288000</v>
      </c>
    </row>
    <row r="48" spans="1:6" x14ac:dyDescent="0.4">
      <c r="A48" s="4" t="s">
        <v>102</v>
      </c>
      <c r="B48" s="7">
        <v>2744138</v>
      </c>
      <c r="C48" s="7">
        <v>274413</v>
      </c>
      <c r="E48" s="4" t="s">
        <v>260</v>
      </c>
      <c r="F48" s="7">
        <v>471500</v>
      </c>
    </row>
    <row r="49" spans="1:6" x14ac:dyDescent="0.4">
      <c r="A49" s="4" t="s">
        <v>106</v>
      </c>
      <c r="B49" s="7">
        <v>56898412</v>
      </c>
      <c r="C49" s="7">
        <v>5689841</v>
      </c>
      <c r="E49" s="4" t="s">
        <v>272</v>
      </c>
      <c r="F49" s="7">
        <v>74520</v>
      </c>
    </row>
    <row r="50" spans="1:6" x14ac:dyDescent="0.4">
      <c r="A50" s="4" t="s">
        <v>108</v>
      </c>
      <c r="B50" s="7">
        <v>14950605</v>
      </c>
      <c r="C50" s="7">
        <v>1495057</v>
      </c>
      <c r="E50" s="4" t="s">
        <v>278</v>
      </c>
      <c r="F50" s="7">
        <v>158037</v>
      </c>
    </row>
    <row r="51" spans="1:6" x14ac:dyDescent="0.4">
      <c r="A51" s="4" t="s">
        <v>110</v>
      </c>
      <c r="B51" s="7">
        <v>186680269</v>
      </c>
      <c r="C51" s="7">
        <v>18668019</v>
      </c>
      <c r="E51" s="4" t="s">
        <v>286</v>
      </c>
      <c r="F51" s="7">
        <v>41383</v>
      </c>
    </row>
    <row r="52" spans="1:6" x14ac:dyDescent="0.4">
      <c r="A52" s="4" t="s">
        <v>114</v>
      </c>
      <c r="B52" s="7">
        <v>985538</v>
      </c>
      <c r="C52" s="7">
        <v>98554</v>
      </c>
      <c r="E52" s="4" t="s">
        <v>294</v>
      </c>
      <c r="F52" s="7">
        <v>54274</v>
      </c>
    </row>
    <row r="53" spans="1:6" x14ac:dyDescent="0.4">
      <c r="A53" s="4" t="s">
        <v>116</v>
      </c>
      <c r="B53" s="7">
        <v>290159824</v>
      </c>
      <c r="C53" s="7">
        <v>29016006</v>
      </c>
      <c r="E53" s="4" t="s">
        <v>304</v>
      </c>
      <c r="F53" s="7">
        <v>99870</v>
      </c>
    </row>
    <row r="54" spans="1:6" x14ac:dyDescent="0.4">
      <c r="A54" s="4" t="s">
        <v>118</v>
      </c>
      <c r="B54" s="7">
        <v>25865584</v>
      </c>
      <c r="C54" s="7">
        <v>2586559</v>
      </c>
      <c r="E54" s="4" t="s">
        <v>306</v>
      </c>
      <c r="F54" s="7">
        <v>74600</v>
      </c>
    </row>
    <row r="55" spans="1:6" x14ac:dyDescent="0.4">
      <c r="A55" s="4" t="s">
        <v>120</v>
      </c>
      <c r="B55" s="7">
        <v>17215066</v>
      </c>
      <c r="C55" s="7">
        <v>1721506</v>
      </c>
      <c r="E55" s="4" t="s">
        <v>308</v>
      </c>
      <c r="F55" s="7">
        <v>25200</v>
      </c>
    </row>
    <row r="56" spans="1:6" x14ac:dyDescent="0.4">
      <c r="A56" s="4" t="s">
        <v>122</v>
      </c>
      <c r="B56" s="7">
        <v>46373218</v>
      </c>
      <c r="C56" s="7">
        <v>4637321</v>
      </c>
      <c r="E56" s="4" t="s">
        <v>310</v>
      </c>
      <c r="F56" s="7">
        <v>1270378</v>
      </c>
    </row>
    <row r="57" spans="1:6" x14ac:dyDescent="0.4">
      <c r="A57" s="4" t="s">
        <v>124</v>
      </c>
      <c r="B57" s="7">
        <v>125369495</v>
      </c>
      <c r="C57" s="7">
        <v>12536949</v>
      </c>
      <c r="E57" s="4" t="s">
        <v>312</v>
      </c>
      <c r="F57" s="7">
        <v>2279593</v>
      </c>
    </row>
    <row r="58" spans="1:6" x14ac:dyDescent="0.4">
      <c r="A58" s="4" t="s">
        <v>126</v>
      </c>
      <c r="B58" s="7">
        <v>279000</v>
      </c>
      <c r="C58" s="7">
        <v>27900</v>
      </c>
      <c r="E58" s="4" t="s">
        <v>314</v>
      </c>
      <c r="F58" s="7">
        <v>11715</v>
      </c>
    </row>
    <row r="59" spans="1:6" x14ac:dyDescent="0.4">
      <c r="A59" s="4" t="s">
        <v>128</v>
      </c>
      <c r="B59" s="7">
        <v>49811618</v>
      </c>
      <c r="C59" s="7">
        <v>4981161</v>
      </c>
      <c r="E59" s="4" t="s">
        <v>318</v>
      </c>
      <c r="F59" s="7">
        <v>594297</v>
      </c>
    </row>
    <row r="60" spans="1:6" x14ac:dyDescent="0.4">
      <c r="A60" s="4" t="s">
        <v>130</v>
      </c>
      <c r="B60" s="7">
        <v>17362359</v>
      </c>
      <c r="C60" s="7">
        <v>1736235</v>
      </c>
      <c r="E60" s="4" t="s">
        <v>324</v>
      </c>
      <c r="F60" s="7">
        <v>396246</v>
      </c>
    </row>
    <row r="61" spans="1:6" x14ac:dyDescent="0.4">
      <c r="A61" s="4" t="s">
        <v>132</v>
      </c>
      <c r="B61" s="7">
        <v>281183637</v>
      </c>
      <c r="C61" s="7">
        <v>28118327</v>
      </c>
      <c r="E61" s="4" t="s">
        <v>326</v>
      </c>
      <c r="F61" s="7">
        <v>50682</v>
      </c>
    </row>
    <row r="62" spans="1:6" x14ac:dyDescent="0.4">
      <c r="A62" s="4" t="s">
        <v>134</v>
      </c>
      <c r="B62" s="7">
        <v>66382813</v>
      </c>
      <c r="C62" s="7">
        <v>6638280</v>
      </c>
      <c r="E62" s="4" t="s">
        <v>328</v>
      </c>
      <c r="F62" s="7">
        <v>13713</v>
      </c>
    </row>
    <row r="63" spans="1:6" x14ac:dyDescent="0.4">
      <c r="A63" s="4" t="s">
        <v>136</v>
      </c>
      <c r="B63" s="7">
        <v>18688292</v>
      </c>
      <c r="C63" s="7">
        <v>1868828</v>
      </c>
      <c r="E63" s="4" t="s">
        <v>333</v>
      </c>
      <c r="F63" s="7">
        <v>8437</v>
      </c>
    </row>
    <row r="64" spans="1:6" x14ac:dyDescent="0.4">
      <c r="A64" s="4" t="s">
        <v>138</v>
      </c>
      <c r="B64" s="7">
        <v>28672461</v>
      </c>
      <c r="C64" s="7">
        <v>2867245</v>
      </c>
      <c r="E64" s="4" t="s">
        <v>337</v>
      </c>
      <c r="F64" s="7">
        <v>216246</v>
      </c>
    </row>
    <row r="65" spans="1:6" x14ac:dyDescent="0.4">
      <c r="A65" s="4" t="s">
        <v>140</v>
      </c>
      <c r="B65" s="7">
        <v>368939</v>
      </c>
      <c r="C65" s="7">
        <v>36894</v>
      </c>
      <c r="E65" s="4" t="s">
        <v>353</v>
      </c>
      <c r="F65" s="7">
        <v>1283228</v>
      </c>
    </row>
    <row r="66" spans="1:6" x14ac:dyDescent="0.4">
      <c r="A66" s="4" t="s">
        <v>142</v>
      </c>
      <c r="B66" s="7">
        <v>110337826</v>
      </c>
      <c r="C66" s="7">
        <v>11033782</v>
      </c>
      <c r="E66" s="4" t="s">
        <v>357</v>
      </c>
      <c r="F66" s="7">
        <v>98648</v>
      </c>
    </row>
    <row r="67" spans="1:6" x14ac:dyDescent="0.4">
      <c r="A67" s="4" t="s">
        <v>144</v>
      </c>
      <c r="B67" s="7">
        <v>22834477</v>
      </c>
      <c r="C67" s="7">
        <v>2283448</v>
      </c>
      <c r="E67" s="4"/>
      <c r="F67" s="7"/>
    </row>
    <row r="68" spans="1:6" x14ac:dyDescent="0.4">
      <c r="A68" s="4" t="s">
        <v>146</v>
      </c>
      <c r="B68" s="7">
        <v>241030334</v>
      </c>
      <c r="C68" s="7">
        <v>24103040</v>
      </c>
      <c r="E68" s="4"/>
      <c r="F68" s="7"/>
    </row>
    <row r="69" spans="1:6" x14ac:dyDescent="0.4">
      <c r="A69" s="4" t="s">
        <v>148</v>
      </c>
      <c r="B69" s="7">
        <v>141049</v>
      </c>
      <c r="C69" s="7">
        <v>14104</v>
      </c>
      <c r="E69" s="4"/>
      <c r="F69" s="7"/>
    </row>
    <row r="70" spans="1:6" x14ac:dyDescent="0.4">
      <c r="A70" s="4" t="s">
        <v>152</v>
      </c>
      <c r="B70" s="7">
        <v>5111168</v>
      </c>
      <c r="C70" s="7">
        <v>511116</v>
      </c>
      <c r="E70" s="4"/>
      <c r="F70" s="7"/>
    </row>
    <row r="71" spans="1:6" x14ac:dyDescent="0.4">
      <c r="A71" s="4" t="s">
        <v>154</v>
      </c>
      <c r="B71" s="7">
        <v>10117630</v>
      </c>
      <c r="C71" s="7">
        <v>1011763</v>
      </c>
      <c r="E71" s="4"/>
      <c r="F71" s="7"/>
    </row>
    <row r="72" spans="1:6" x14ac:dyDescent="0.4">
      <c r="A72" s="4" t="s">
        <v>156</v>
      </c>
      <c r="B72" s="7">
        <v>138904</v>
      </c>
      <c r="C72" s="7">
        <v>13890</v>
      </c>
      <c r="E72" s="4"/>
      <c r="F72" s="7"/>
    </row>
    <row r="73" spans="1:6" x14ac:dyDescent="0.4">
      <c r="A73" s="4" t="s">
        <v>158</v>
      </c>
      <c r="B73" s="7">
        <v>26110962</v>
      </c>
      <c r="C73" s="7">
        <v>2611096</v>
      </c>
      <c r="E73" s="8"/>
      <c r="F73" s="9"/>
    </row>
    <row r="74" spans="1:6" x14ac:dyDescent="0.4">
      <c r="A74" s="4" t="s">
        <v>160</v>
      </c>
      <c r="B74" s="7">
        <v>41216229</v>
      </c>
      <c r="C74" s="7">
        <v>4121623</v>
      </c>
    </row>
    <row r="75" spans="1:6" x14ac:dyDescent="0.4">
      <c r="A75" s="4" t="s">
        <v>162</v>
      </c>
      <c r="B75" s="7">
        <v>25584737</v>
      </c>
      <c r="C75" s="7">
        <v>2558473</v>
      </c>
    </row>
    <row r="76" spans="1:6" x14ac:dyDescent="0.4">
      <c r="A76" s="4" t="s">
        <v>164</v>
      </c>
      <c r="B76" s="7">
        <v>147050521</v>
      </c>
      <c r="C76" s="7">
        <v>14705038</v>
      </c>
    </row>
    <row r="77" spans="1:6" x14ac:dyDescent="0.4">
      <c r="A77" s="4" t="s">
        <v>168</v>
      </c>
      <c r="B77" s="7">
        <v>121017</v>
      </c>
      <c r="C77" s="7">
        <v>12101</v>
      </c>
    </row>
    <row r="78" spans="1:6" x14ac:dyDescent="0.4">
      <c r="A78" s="4" t="s">
        <v>170</v>
      </c>
      <c r="B78" s="7">
        <v>19063860</v>
      </c>
      <c r="C78" s="7">
        <v>1906380</v>
      </c>
    </row>
    <row r="79" spans="1:6" x14ac:dyDescent="0.4">
      <c r="A79" s="4" t="s">
        <v>172</v>
      </c>
      <c r="B79" s="7">
        <v>406852066</v>
      </c>
      <c r="C79" s="7">
        <v>40685206</v>
      </c>
    </row>
    <row r="80" spans="1:6" x14ac:dyDescent="0.4">
      <c r="A80" s="4" t="s">
        <v>174</v>
      </c>
      <c r="B80" s="7">
        <v>6263020</v>
      </c>
      <c r="C80" s="7">
        <v>626308</v>
      </c>
    </row>
    <row r="81" spans="1:3" x14ac:dyDescent="0.4">
      <c r="A81" s="4" t="s">
        <v>176</v>
      </c>
      <c r="B81" s="7">
        <v>133301</v>
      </c>
      <c r="C81" s="7">
        <v>13330</v>
      </c>
    </row>
    <row r="82" spans="1:3" x14ac:dyDescent="0.4">
      <c r="A82" s="4" t="s">
        <v>178</v>
      </c>
      <c r="B82" s="7">
        <v>579639827</v>
      </c>
      <c r="C82" s="7">
        <v>57963987</v>
      </c>
    </row>
    <row r="83" spans="1:3" x14ac:dyDescent="0.4">
      <c r="A83" s="4" t="s">
        <v>180</v>
      </c>
      <c r="B83" s="7">
        <v>945494</v>
      </c>
      <c r="C83" s="7">
        <v>94550</v>
      </c>
    </row>
    <row r="84" spans="1:3" x14ac:dyDescent="0.4">
      <c r="A84" s="4" t="s">
        <v>182</v>
      </c>
      <c r="B84" s="7">
        <v>33908176</v>
      </c>
      <c r="C84" s="7">
        <v>3390818</v>
      </c>
    </row>
    <row r="85" spans="1:3" x14ac:dyDescent="0.4">
      <c r="A85" s="4" t="s">
        <v>184</v>
      </c>
      <c r="B85" s="7">
        <v>117795390</v>
      </c>
      <c r="C85" s="7">
        <v>11779539</v>
      </c>
    </row>
    <row r="86" spans="1:3" x14ac:dyDescent="0.4">
      <c r="A86" s="4" t="s">
        <v>186</v>
      </c>
      <c r="B86" s="7">
        <v>283325525</v>
      </c>
      <c r="C86" s="7">
        <v>28332553</v>
      </c>
    </row>
    <row r="87" spans="1:3" x14ac:dyDescent="0.4">
      <c r="A87" s="4" t="s">
        <v>188</v>
      </c>
      <c r="B87" s="7">
        <v>52920733</v>
      </c>
      <c r="C87" s="7">
        <v>5292073</v>
      </c>
    </row>
    <row r="88" spans="1:3" x14ac:dyDescent="0.4">
      <c r="A88" s="4" t="s">
        <v>190</v>
      </c>
      <c r="B88" s="7">
        <v>6796996</v>
      </c>
      <c r="C88" s="7">
        <v>679697</v>
      </c>
    </row>
    <row r="89" spans="1:3" x14ac:dyDescent="0.4">
      <c r="A89" s="4" t="s">
        <v>192</v>
      </c>
      <c r="B89" s="7">
        <v>0</v>
      </c>
      <c r="C89" s="7">
        <v>0</v>
      </c>
    </row>
    <row r="90" spans="1:3" x14ac:dyDescent="0.4">
      <c r="A90" s="4" t="s">
        <v>194</v>
      </c>
      <c r="B90" s="7">
        <v>32602804</v>
      </c>
      <c r="C90" s="7">
        <v>3260279</v>
      </c>
    </row>
    <row r="91" spans="1:3" x14ac:dyDescent="0.4">
      <c r="A91" s="4" t="s">
        <v>196</v>
      </c>
      <c r="B91" s="7">
        <v>131888590</v>
      </c>
      <c r="C91" s="7">
        <v>13188861</v>
      </c>
    </row>
    <row r="92" spans="1:3" x14ac:dyDescent="0.4">
      <c r="A92" s="4" t="s">
        <v>198</v>
      </c>
      <c r="B92" s="7">
        <v>39519042</v>
      </c>
      <c r="C92" s="7">
        <v>3951904</v>
      </c>
    </row>
    <row r="93" spans="1:3" x14ac:dyDescent="0.4">
      <c r="A93" s="4" t="s">
        <v>200</v>
      </c>
      <c r="B93" s="7">
        <v>30534272</v>
      </c>
      <c r="C93" s="7">
        <v>3053429</v>
      </c>
    </row>
    <row r="94" spans="1:3" x14ac:dyDescent="0.4">
      <c r="A94" s="4" t="s">
        <v>202</v>
      </c>
      <c r="B94" s="7">
        <v>17175037</v>
      </c>
      <c r="C94" s="7">
        <v>1717503</v>
      </c>
    </row>
    <row r="95" spans="1:3" x14ac:dyDescent="0.4">
      <c r="A95" s="4" t="s">
        <v>204</v>
      </c>
      <c r="B95" s="7">
        <v>11230300</v>
      </c>
      <c r="C95" s="7">
        <v>1123030</v>
      </c>
    </row>
    <row r="96" spans="1:3" x14ac:dyDescent="0.4">
      <c r="A96" s="4" t="s">
        <v>206</v>
      </c>
      <c r="B96" s="7">
        <v>3952447</v>
      </c>
      <c r="C96" s="7">
        <v>395245</v>
      </c>
    </row>
    <row r="97" spans="1:3" x14ac:dyDescent="0.4">
      <c r="A97" s="4" t="s">
        <v>208</v>
      </c>
      <c r="B97" s="7">
        <v>71269434</v>
      </c>
      <c r="C97" s="7">
        <v>7126943</v>
      </c>
    </row>
    <row r="98" spans="1:3" x14ac:dyDescent="0.4">
      <c r="A98" s="4" t="s">
        <v>210</v>
      </c>
      <c r="B98" s="7">
        <v>39667002</v>
      </c>
      <c r="C98" s="7">
        <v>3966701</v>
      </c>
    </row>
    <row r="99" spans="1:3" x14ac:dyDescent="0.4">
      <c r="A99" s="4" t="s">
        <v>212</v>
      </c>
      <c r="B99" s="7">
        <v>359825</v>
      </c>
      <c r="C99" s="7">
        <v>35983</v>
      </c>
    </row>
    <row r="100" spans="1:3" x14ac:dyDescent="0.4">
      <c r="A100" s="4" t="s">
        <v>216</v>
      </c>
      <c r="B100" s="7">
        <v>54249017</v>
      </c>
      <c r="C100" s="7">
        <v>5424902</v>
      </c>
    </row>
    <row r="101" spans="1:3" x14ac:dyDescent="0.4">
      <c r="A101" s="4" t="s">
        <v>218</v>
      </c>
      <c r="B101" s="7">
        <v>161677</v>
      </c>
      <c r="C101" s="7">
        <v>16168</v>
      </c>
    </row>
    <row r="102" spans="1:3" x14ac:dyDescent="0.4">
      <c r="A102" s="4" t="s">
        <v>220</v>
      </c>
      <c r="B102" s="7">
        <v>37878425</v>
      </c>
      <c r="C102" s="7">
        <v>3787844</v>
      </c>
    </row>
    <row r="103" spans="1:3" x14ac:dyDescent="0.4">
      <c r="A103" s="4" t="s">
        <v>222</v>
      </c>
      <c r="B103" s="7">
        <v>15445962</v>
      </c>
      <c r="C103" s="7">
        <v>1544595</v>
      </c>
    </row>
    <row r="104" spans="1:3" x14ac:dyDescent="0.4">
      <c r="A104" s="4" t="s">
        <v>224</v>
      </c>
      <c r="B104" s="7">
        <v>27346809</v>
      </c>
      <c r="C104" s="7">
        <v>2734683</v>
      </c>
    </row>
    <row r="105" spans="1:3" x14ac:dyDescent="0.4">
      <c r="A105" s="4" t="s">
        <v>226</v>
      </c>
      <c r="B105" s="7">
        <v>8096364</v>
      </c>
      <c r="C105" s="7">
        <v>809636</v>
      </c>
    </row>
    <row r="106" spans="1:3" x14ac:dyDescent="0.4">
      <c r="A106" s="4" t="s">
        <v>228</v>
      </c>
      <c r="B106" s="7">
        <v>4277819</v>
      </c>
      <c r="C106" s="7">
        <v>427782</v>
      </c>
    </row>
    <row r="107" spans="1:3" x14ac:dyDescent="0.4">
      <c r="A107" s="4" t="s">
        <v>230</v>
      </c>
      <c r="B107" s="7">
        <v>10858148</v>
      </c>
      <c r="C107" s="7">
        <v>1085815</v>
      </c>
    </row>
    <row r="108" spans="1:3" x14ac:dyDescent="0.4">
      <c r="A108" s="4" t="s">
        <v>232</v>
      </c>
      <c r="B108" s="7">
        <v>9171025</v>
      </c>
      <c r="C108" s="7">
        <v>917103</v>
      </c>
    </row>
    <row r="109" spans="1:3" x14ac:dyDescent="0.4">
      <c r="A109" s="4" t="s">
        <v>234</v>
      </c>
      <c r="B109" s="7">
        <v>4816830</v>
      </c>
      <c r="C109" s="7">
        <v>481683</v>
      </c>
    </row>
    <row r="110" spans="1:3" x14ac:dyDescent="0.4">
      <c r="A110" s="4" t="s">
        <v>236</v>
      </c>
      <c r="B110" s="7">
        <v>72535</v>
      </c>
      <c r="C110" s="7">
        <v>7253</v>
      </c>
    </row>
    <row r="111" spans="1:3" x14ac:dyDescent="0.4">
      <c r="A111" s="4" t="s">
        <v>240</v>
      </c>
      <c r="B111" s="7">
        <v>2861727</v>
      </c>
      <c r="C111" s="7">
        <v>286173</v>
      </c>
    </row>
    <row r="112" spans="1:3" x14ac:dyDescent="0.4">
      <c r="A112" s="4" t="s">
        <v>242</v>
      </c>
      <c r="B112" s="7">
        <v>0</v>
      </c>
      <c r="C112" s="7">
        <v>0</v>
      </c>
    </row>
    <row r="113" spans="1:3" x14ac:dyDescent="0.4">
      <c r="A113" s="4" t="s">
        <v>244</v>
      </c>
      <c r="B113" s="7">
        <v>3174470</v>
      </c>
      <c r="C113" s="7">
        <v>317447</v>
      </c>
    </row>
    <row r="114" spans="1:3" x14ac:dyDescent="0.4">
      <c r="A114" s="4" t="s">
        <v>246</v>
      </c>
      <c r="B114" s="7">
        <v>5610132</v>
      </c>
      <c r="C114" s="7">
        <v>561013</v>
      </c>
    </row>
    <row r="115" spans="1:3" x14ac:dyDescent="0.4">
      <c r="A115" s="4" t="s">
        <v>248</v>
      </c>
      <c r="B115" s="7">
        <v>16278149</v>
      </c>
      <c r="C115" s="7">
        <v>1627814</v>
      </c>
    </row>
    <row r="116" spans="1:3" x14ac:dyDescent="0.4">
      <c r="A116" s="4" t="s">
        <v>250</v>
      </c>
      <c r="B116" s="7">
        <v>5464623</v>
      </c>
      <c r="C116" s="7">
        <v>546462</v>
      </c>
    </row>
    <row r="117" spans="1:3" x14ac:dyDescent="0.4">
      <c r="A117" s="4" t="s">
        <v>252</v>
      </c>
      <c r="B117" s="7">
        <v>2854132</v>
      </c>
      <c r="C117" s="7">
        <v>285413</v>
      </c>
    </row>
    <row r="118" spans="1:3" x14ac:dyDescent="0.4">
      <c r="A118" s="4" t="s">
        <v>254</v>
      </c>
      <c r="B118" s="7">
        <v>25000</v>
      </c>
      <c r="C118" s="7">
        <v>2500</v>
      </c>
    </row>
    <row r="119" spans="1:3" x14ac:dyDescent="0.4">
      <c r="A119" s="4" t="s">
        <v>256</v>
      </c>
      <c r="B119" s="7">
        <v>35410382</v>
      </c>
      <c r="C119" s="7">
        <v>3541038</v>
      </c>
    </row>
    <row r="120" spans="1:3" x14ac:dyDescent="0.4">
      <c r="A120" s="4" t="s">
        <v>258</v>
      </c>
      <c r="B120" s="7">
        <v>4306259</v>
      </c>
      <c r="C120" s="7">
        <v>430626</v>
      </c>
    </row>
    <row r="121" spans="1:3" x14ac:dyDescent="0.4">
      <c r="A121" s="4" t="s">
        <v>260</v>
      </c>
      <c r="B121" s="7">
        <v>68402000</v>
      </c>
      <c r="C121" s="7">
        <v>6840219</v>
      </c>
    </row>
    <row r="122" spans="1:3" x14ac:dyDescent="0.4">
      <c r="A122" s="4" t="s">
        <v>262</v>
      </c>
      <c r="B122" s="7">
        <v>106638</v>
      </c>
      <c r="C122" s="7">
        <v>10663</v>
      </c>
    </row>
    <row r="123" spans="1:3" x14ac:dyDescent="0.4">
      <c r="A123" s="4" t="s">
        <v>264</v>
      </c>
      <c r="B123" s="7">
        <v>-4678</v>
      </c>
      <c r="C123" s="7">
        <v>-467</v>
      </c>
    </row>
    <row r="124" spans="1:3" x14ac:dyDescent="0.4">
      <c r="A124" s="4" t="s">
        <v>266</v>
      </c>
      <c r="B124" s="7">
        <v>14746000</v>
      </c>
      <c r="C124" s="7">
        <v>1474600</v>
      </c>
    </row>
    <row r="125" spans="1:3" x14ac:dyDescent="0.4">
      <c r="A125" s="4" t="s">
        <v>268</v>
      </c>
      <c r="B125" s="7">
        <v>7845747</v>
      </c>
      <c r="C125" s="7">
        <v>784575</v>
      </c>
    </row>
    <row r="126" spans="1:3" x14ac:dyDescent="0.4">
      <c r="A126" s="4" t="s">
        <v>272</v>
      </c>
      <c r="B126" s="7">
        <v>19932789</v>
      </c>
      <c r="C126" s="7">
        <v>1993278</v>
      </c>
    </row>
    <row r="127" spans="1:3" x14ac:dyDescent="0.4">
      <c r="A127" s="4" t="s">
        <v>274</v>
      </c>
      <c r="B127" s="7">
        <v>5014557</v>
      </c>
      <c r="C127" s="7">
        <v>501456</v>
      </c>
    </row>
    <row r="128" spans="1:3" x14ac:dyDescent="0.4">
      <c r="A128" s="4" t="s">
        <v>276</v>
      </c>
      <c r="B128" s="7">
        <v>28043251</v>
      </c>
      <c r="C128" s="7">
        <v>2804326</v>
      </c>
    </row>
    <row r="129" spans="1:3" x14ac:dyDescent="0.4">
      <c r="A129" s="4" t="s">
        <v>278</v>
      </c>
      <c r="B129" s="7">
        <v>40147547</v>
      </c>
      <c r="C129" s="7">
        <v>4014754</v>
      </c>
    </row>
    <row r="130" spans="1:3" x14ac:dyDescent="0.4">
      <c r="A130" s="4" t="s">
        <v>280</v>
      </c>
      <c r="B130" s="7">
        <v>2596634</v>
      </c>
      <c r="C130" s="7">
        <v>259663</v>
      </c>
    </row>
    <row r="131" spans="1:3" x14ac:dyDescent="0.4">
      <c r="A131" s="4" t="s">
        <v>282</v>
      </c>
      <c r="B131" s="7">
        <v>4464737</v>
      </c>
      <c r="C131" s="7">
        <v>446474</v>
      </c>
    </row>
    <row r="132" spans="1:3" x14ac:dyDescent="0.4">
      <c r="A132" s="4" t="s">
        <v>284</v>
      </c>
      <c r="B132" s="7">
        <v>41200</v>
      </c>
      <c r="C132" s="7">
        <v>4120</v>
      </c>
    </row>
    <row r="133" spans="1:3" x14ac:dyDescent="0.4">
      <c r="A133" s="4" t="s">
        <v>286</v>
      </c>
      <c r="B133" s="7">
        <v>69459708</v>
      </c>
      <c r="C133" s="7">
        <v>6945970</v>
      </c>
    </row>
    <row r="134" spans="1:3" x14ac:dyDescent="0.4">
      <c r="A134" s="4" t="s">
        <v>288</v>
      </c>
      <c r="B134" s="7">
        <v>3769548</v>
      </c>
      <c r="C134" s="7">
        <v>376954</v>
      </c>
    </row>
    <row r="135" spans="1:3" x14ac:dyDescent="0.4">
      <c r="A135" s="4" t="s">
        <v>290</v>
      </c>
      <c r="B135" s="7">
        <v>0</v>
      </c>
      <c r="C135" s="7">
        <v>0</v>
      </c>
    </row>
    <row r="136" spans="1:3" x14ac:dyDescent="0.4">
      <c r="A136" s="4" t="s">
        <v>292</v>
      </c>
      <c r="B136" s="7">
        <v>86667160</v>
      </c>
      <c r="C136" s="7">
        <v>8666717</v>
      </c>
    </row>
    <row r="137" spans="1:3" x14ac:dyDescent="0.4">
      <c r="A137" s="4" t="s">
        <v>294</v>
      </c>
      <c r="B137" s="7">
        <v>13504278</v>
      </c>
      <c r="C137" s="7">
        <v>1350425</v>
      </c>
    </row>
    <row r="138" spans="1:3" x14ac:dyDescent="0.4">
      <c r="A138" s="4" t="s">
        <v>296</v>
      </c>
      <c r="B138" s="7">
        <v>12937245</v>
      </c>
      <c r="C138" s="7">
        <v>1293721</v>
      </c>
    </row>
    <row r="139" spans="1:3" x14ac:dyDescent="0.4">
      <c r="A139" s="4" t="s">
        <v>298</v>
      </c>
      <c r="B139" s="7">
        <v>14673017</v>
      </c>
      <c r="C139" s="7">
        <v>1467301</v>
      </c>
    </row>
    <row r="140" spans="1:3" x14ac:dyDescent="0.4">
      <c r="A140" s="4" t="s">
        <v>300</v>
      </c>
      <c r="B140" s="7">
        <v>2299074</v>
      </c>
      <c r="C140" s="7">
        <v>229907</v>
      </c>
    </row>
    <row r="141" spans="1:3" x14ac:dyDescent="0.4">
      <c r="A141" s="4" t="s">
        <v>302</v>
      </c>
      <c r="B141" s="7">
        <v>162446</v>
      </c>
      <c r="C141" s="7">
        <v>16244</v>
      </c>
    </row>
    <row r="142" spans="1:3" x14ac:dyDescent="0.4">
      <c r="A142" s="4" t="s">
        <v>304</v>
      </c>
      <c r="B142" s="7">
        <v>11884101</v>
      </c>
      <c r="C142" s="7">
        <v>1188413</v>
      </c>
    </row>
    <row r="143" spans="1:3" x14ac:dyDescent="0.4">
      <c r="A143" s="4" t="s">
        <v>306</v>
      </c>
      <c r="B143" s="7">
        <v>195000</v>
      </c>
      <c r="C143" s="7">
        <v>19500</v>
      </c>
    </row>
    <row r="144" spans="1:3" x14ac:dyDescent="0.4">
      <c r="A144" s="4" t="s">
        <v>308</v>
      </c>
      <c r="B144" s="7">
        <v>24143135</v>
      </c>
      <c r="C144" s="7">
        <v>2414313</v>
      </c>
    </row>
    <row r="145" spans="1:3" x14ac:dyDescent="0.4">
      <c r="A145" s="4" t="s">
        <v>310</v>
      </c>
      <c r="B145" s="7">
        <v>10812876</v>
      </c>
      <c r="C145" s="7">
        <v>1081289</v>
      </c>
    </row>
    <row r="146" spans="1:3" x14ac:dyDescent="0.4">
      <c r="A146" s="4" t="s">
        <v>312</v>
      </c>
      <c r="B146" s="7">
        <v>35867138</v>
      </c>
      <c r="C146" s="7">
        <v>3586714</v>
      </c>
    </row>
    <row r="147" spans="1:3" x14ac:dyDescent="0.4">
      <c r="A147" s="4" t="s">
        <v>314</v>
      </c>
      <c r="B147" s="7">
        <v>21180000</v>
      </c>
      <c r="C147" s="7">
        <v>2118000</v>
      </c>
    </row>
    <row r="148" spans="1:3" x14ac:dyDescent="0.4">
      <c r="A148" s="4" t="s">
        <v>318</v>
      </c>
      <c r="B148" s="7">
        <v>6776204</v>
      </c>
      <c r="C148" s="7">
        <v>677619</v>
      </c>
    </row>
    <row r="149" spans="1:3" x14ac:dyDescent="0.4">
      <c r="A149" s="4" t="s">
        <v>320</v>
      </c>
      <c r="B149" s="7">
        <v>36613801</v>
      </c>
      <c r="C149" s="7">
        <v>3661380</v>
      </c>
    </row>
    <row r="150" spans="1:3" x14ac:dyDescent="0.4">
      <c r="A150" s="4" t="s">
        <v>322</v>
      </c>
      <c r="B150" s="7">
        <v>88000</v>
      </c>
      <c r="C150" s="7">
        <v>8800</v>
      </c>
    </row>
    <row r="151" spans="1:3" x14ac:dyDescent="0.4">
      <c r="A151" s="4" t="s">
        <v>324</v>
      </c>
      <c r="B151" s="7">
        <v>8079276</v>
      </c>
      <c r="C151" s="7">
        <v>807929</v>
      </c>
    </row>
    <row r="152" spans="1:3" x14ac:dyDescent="0.4">
      <c r="A152" s="4" t="s">
        <v>326</v>
      </c>
      <c r="B152" s="7">
        <v>14919146</v>
      </c>
      <c r="C152" s="7">
        <v>1491915</v>
      </c>
    </row>
    <row r="153" spans="1:3" x14ac:dyDescent="0.4">
      <c r="A153" s="4" t="s">
        <v>328</v>
      </c>
      <c r="B153" s="7">
        <v>22633825</v>
      </c>
      <c r="C153" s="7">
        <v>2263382</v>
      </c>
    </row>
    <row r="154" spans="1:3" x14ac:dyDescent="0.4">
      <c r="A154" s="4" t="s">
        <v>330</v>
      </c>
      <c r="B154" s="7">
        <v>3131934</v>
      </c>
      <c r="C154" s="7">
        <v>313194</v>
      </c>
    </row>
    <row r="155" spans="1:3" x14ac:dyDescent="0.4">
      <c r="A155" s="4" t="s">
        <v>332</v>
      </c>
      <c r="B155" s="7">
        <v>203414715</v>
      </c>
      <c r="C155" s="7">
        <v>20341458</v>
      </c>
    </row>
    <row r="156" spans="1:3" x14ac:dyDescent="0.4">
      <c r="A156" s="4" t="s">
        <v>333</v>
      </c>
      <c r="B156" s="7">
        <v>47845355</v>
      </c>
      <c r="C156" s="7">
        <v>4784536</v>
      </c>
    </row>
    <row r="157" spans="1:3" x14ac:dyDescent="0.4">
      <c r="A157" s="4" t="s">
        <v>335</v>
      </c>
      <c r="B157" s="7">
        <v>0</v>
      </c>
      <c r="C157" s="7">
        <v>0</v>
      </c>
    </row>
    <row r="158" spans="1:3" x14ac:dyDescent="0.4">
      <c r="A158" s="4" t="s">
        <v>337</v>
      </c>
      <c r="B158" s="7">
        <v>3774053</v>
      </c>
      <c r="C158" s="7">
        <v>377405</v>
      </c>
    </row>
    <row r="159" spans="1:3" x14ac:dyDescent="0.4">
      <c r="A159" s="4" t="s">
        <v>339</v>
      </c>
      <c r="B159" s="7">
        <v>1024061</v>
      </c>
      <c r="C159" s="7">
        <v>102406</v>
      </c>
    </row>
    <row r="160" spans="1:3" x14ac:dyDescent="0.4">
      <c r="A160" s="4" t="s">
        <v>341</v>
      </c>
      <c r="B160" s="7">
        <v>140000</v>
      </c>
      <c r="C160" s="7">
        <v>14000</v>
      </c>
    </row>
    <row r="161" spans="1:3" x14ac:dyDescent="0.4">
      <c r="A161" s="4" t="s">
        <v>343</v>
      </c>
      <c r="B161" s="7">
        <v>23441809</v>
      </c>
      <c r="C161" s="7">
        <v>2344181</v>
      </c>
    </row>
    <row r="162" spans="1:3" x14ac:dyDescent="0.4">
      <c r="A162" s="4" t="s">
        <v>345</v>
      </c>
      <c r="B162" s="7">
        <v>13814696</v>
      </c>
      <c r="C162" s="7">
        <v>1381470</v>
      </c>
    </row>
    <row r="163" spans="1:3" x14ac:dyDescent="0.4">
      <c r="A163" s="4" t="s">
        <v>347</v>
      </c>
      <c r="B163" s="7">
        <v>0</v>
      </c>
      <c r="C163" s="7">
        <v>0</v>
      </c>
    </row>
    <row r="164" spans="1:3" x14ac:dyDescent="0.4">
      <c r="A164" s="4" t="s">
        <v>349</v>
      </c>
      <c r="B164" s="7">
        <v>43540420</v>
      </c>
      <c r="C164" s="7">
        <v>4354062</v>
      </c>
    </row>
    <row r="165" spans="1:3" x14ac:dyDescent="0.4">
      <c r="A165" s="4" t="s">
        <v>351</v>
      </c>
      <c r="B165" s="7">
        <v>15332145</v>
      </c>
      <c r="C165" s="7">
        <v>1533214</v>
      </c>
    </row>
    <row r="166" spans="1:3" x14ac:dyDescent="0.4">
      <c r="A166" s="4" t="s">
        <v>353</v>
      </c>
      <c r="B166" s="7">
        <v>52848245</v>
      </c>
      <c r="C166" s="7">
        <v>5225824</v>
      </c>
    </row>
    <row r="167" spans="1:3" x14ac:dyDescent="0.4">
      <c r="A167" s="4" t="s">
        <v>355</v>
      </c>
      <c r="B167" s="7">
        <v>83447858</v>
      </c>
      <c r="C167" s="7">
        <v>8344786</v>
      </c>
    </row>
    <row r="168" spans="1:3" x14ac:dyDescent="0.4">
      <c r="A168" s="4" t="s">
        <v>357</v>
      </c>
      <c r="B168" s="7">
        <v>701640660</v>
      </c>
      <c r="C168" s="7">
        <v>70164067</v>
      </c>
    </row>
    <row r="169" spans="1:3" x14ac:dyDescent="0.4">
      <c r="A169" s="4" t="s">
        <v>359</v>
      </c>
      <c r="B169" s="7">
        <v>332074056</v>
      </c>
      <c r="C169" s="7">
        <v>33207405</v>
      </c>
    </row>
    <row r="170" spans="1:3" x14ac:dyDescent="0.4">
      <c r="A170" s="4"/>
      <c r="B170" s="7"/>
      <c r="C170" s="7"/>
    </row>
    <row r="171" spans="1:3" x14ac:dyDescent="0.4">
      <c r="A171" s="4"/>
      <c r="B171" s="7"/>
      <c r="C171" s="7"/>
    </row>
    <row r="172" spans="1:3" x14ac:dyDescent="0.4">
      <c r="A172" s="4"/>
      <c r="B172" s="7"/>
      <c r="C172" s="7"/>
    </row>
    <row r="173" spans="1:3" x14ac:dyDescent="0.4">
      <c r="A173" s="4"/>
      <c r="B173" s="7"/>
      <c r="C173" s="7"/>
    </row>
    <row r="174" spans="1:3" x14ac:dyDescent="0.4">
      <c r="A174" s="4"/>
      <c r="B174" s="7"/>
      <c r="C174" s="7"/>
    </row>
    <row r="175" spans="1:3" x14ac:dyDescent="0.4">
      <c r="A175" s="8"/>
      <c r="B175" s="9"/>
      <c r="C175" s="9"/>
    </row>
  </sheetData>
  <mergeCells count="2">
    <mergeCell ref="A1:C1"/>
    <mergeCell ref="E1:F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83"/>
  <sheetViews>
    <sheetView topLeftCell="B1" workbookViewId="0">
      <selection activeCell="K183" sqref="K183"/>
    </sheetView>
  </sheetViews>
  <sheetFormatPr defaultRowHeight="17.399999999999999" x14ac:dyDescent="0.25"/>
  <cols>
    <col min="2" max="2" width="6.5" style="1" bestFit="1" customWidth="1"/>
    <col min="3" max="3" width="38.3984375" style="1" bestFit="1" customWidth="1"/>
    <col min="4" max="4" width="13.59765625" bestFit="1" customWidth="1"/>
    <col min="8" max="8" width="16.5" style="10" bestFit="1" customWidth="1"/>
    <col min="9" max="9" width="15.3984375" style="10" bestFit="1" customWidth="1"/>
    <col min="10" max="10" width="14.3984375" style="10" bestFit="1" customWidth="1"/>
    <col min="11" max="11" width="15.3984375" style="10" bestFit="1" customWidth="1"/>
    <col min="12" max="12" width="14.3984375" style="10" bestFit="1" customWidth="1"/>
    <col min="13" max="13" width="13.8984375" style="10" bestFit="1" customWidth="1"/>
    <col min="14" max="14" width="16.5" bestFit="1" customWidth="1"/>
    <col min="15" max="15" width="15.3984375" bestFit="1" customWidth="1"/>
    <col min="16" max="16" width="14.3984375" bestFit="1" customWidth="1"/>
    <col min="17" max="17" width="27.59765625" bestFit="1" customWidth="1"/>
    <col min="18" max="18" width="23.8984375" bestFit="1" customWidth="1"/>
  </cols>
  <sheetData>
    <row r="2" spans="2:18" x14ac:dyDescent="0.25">
      <c r="B2" s="11"/>
      <c r="C2" s="11"/>
      <c r="D2" s="3"/>
      <c r="E2" s="3"/>
      <c r="F2" s="3"/>
      <c r="G2" s="3"/>
      <c r="H2" s="22" t="s">
        <v>548</v>
      </c>
      <c r="I2" s="22"/>
      <c r="J2" s="22"/>
      <c r="K2" s="22" t="s">
        <v>549</v>
      </c>
      <c r="L2" s="22"/>
      <c r="M2" s="22"/>
      <c r="N2" s="22" t="s">
        <v>550</v>
      </c>
      <c r="O2" s="22"/>
      <c r="P2" s="22"/>
      <c r="Q2" s="3"/>
      <c r="R2" s="3"/>
    </row>
    <row r="3" spans="2:18" x14ac:dyDescent="0.25">
      <c r="B3" s="15" t="s">
        <v>16</v>
      </c>
      <c r="C3" s="15" t="s">
        <v>17</v>
      </c>
      <c r="D3" s="15" t="s">
        <v>369</v>
      </c>
      <c r="E3" s="4" t="str">
        <f>LEFT(D3,3)</f>
        <v>105</v>
      </c>
      <c r="F3" s="4" t="str">
        <f>MID(D3,4,2)</f>
        <v>81</v>
      </c>
      <c r="G3" s="4" t="str">
        <f>RIGHT(D3,5)</f>
        <v>44184</v>
      </c>
      <c r="H3" s="16">
        <f>IFERROR(VLOOKUP($B3,'SAP 금액'!$A:$C,2,0),0)</f>
        <v>4044074516</v>
      </c>
      <c r="I3" s="16">
        <f>IFERROR(VLOOKUP($B3,'SAP 금액'!$A:$C,3,0),0)</f>
        <v>403763747</v>
      </c>
      <c r="J3" s="16">
        <f>IFERROR(VLOOKUP(B3,'SAP 금액'!E:F,2,0),0)</f>
        <v>1469257510</v>
      </c>
      <c r="K3" s="16">
        <f>VLOOKUP($B3,'국세청 금액'!$A:$C,2,0)</f>
        <v>4044074516</v>
      </c>
      <c r="L3" s="16">
        <f>VLOOKUP($B3,'국세청 금액'!$A:$C,3,0)</f>
        <v>403763747</v>
      </c>
      <c r="M3" s="16">
        <f>VLOOKUP(B3,'국세청 금액'!A:D,4,0)</f>
        <v>1469257510</v>
      </c>
      <c r="N3" s="17">
        <f>K3-H3</f>
        <v>0</v>
      </c>
      <c r="O3" s="17">
        <f>L3-I3</f>
        <v>0</v>
      </c>
      <c r="P3" s="17">
        <f>M3-J3</f>
        <v>0</v>
      </c>
      <c r="Q3" s="4" t="b">
        <f>AND(N3&lt;&gt;0,O3&lt;&gt;0)</f>
        <v>0</v>
      </c>
      <c r="R3" s="4" t="b">
        <f>AND(O3&lt;&gt;0,P3&lt;&gt;0)</f>
        <v>0</v>
      </c>
    </row>
    <row r="4" spans="2:18" x14ac:dyDescent="0.35">
      <c r="B4" s="13" t="s">
        <v>0</v>
      </c>
      <c r="C4" s="13" t="s">
        <v>1</v>
      </c>
      <c r="D4" s="13" t="s">
        <v>361</v>
      </c>
      <c r="E4" s="12" t="s">
        <v>542</v>
      </c>
      <c r="F4" s="12" t="s">
        <v>543</v>
      </c>
      <c r="G4" s="13" t="s">
        <v>554</v>
      </c>
      <c r="H4" s="14" t="s">
        <v>555</v>
      </c>
      <c r="I4" s="14" t="s">
        <v>556</v>
      </c>
      <c r="J4" s="14" t="s">
        <v>557</v>
      </c>
      <c r="K4" s="14" t="s">
        <v>558</v>
      </c>
      <c r="L4" s="14" t="s">
        <v>559</v>
      </c>
      <c r="M4" s="14" t="s">
        <v>560</v>
      </c>
      <c r="N4" s="13" t="s">
        <v>547</v>
      </c>
      <c r="O4" s="13" t="s">
        <v>561</v>
      </c>
      <c r="P4" s="13" t="s">
        <v>562</v>
      </c>
      <c r="Q4" s="13" t="s">
        <v>563</v>
      </c>
      <c r="R4" s="13" t="s">
        <v>564</v>
      </c>
    </row>
    <row r="5" spans="2:18" x14ac:dyDescent="0.25">
      <c r="B5" s="15" t="s">
        <v>2</v>
      </c>
      <c r="C5" s="15" t="s">
        <v>3</v>
      </c>
      <c r="D5" s="15" t="s">
        <v>362</v>
      </c>
      <c r="E5" s="4" t="str">
        <f>LEFT(D5,3)</f>
        <v>201</v>
      </c>
      <c r="F5" s="4" t="str">
        <f>MID(D5,4,2)</f>
        <v>85</v>
      </c>
      <c r="G5" s="4" t="str">
        <f>RIGHT(D5,5)</f>
        <v>27593</v>
      </c>
      <c r="H5" s="16">
        <f>IFERROR(VLOOKUP($B5,'SAP 금액'!$A:$C,2,0),0)</f>
        <v>23236</v>
      </c>
      <c r="I5" s="16">
        <f>IFERROR(VLOOKUP($B5,'SAP 금액'!$A:$C,3,0),0)</f>
        <v>2323</v>
      </c>
      <c r="J5" s="16">
        <f>IFERROR(VLOOKUP(B5,'SAP 금액'!E:F,2,0),0)</f>
        <v>0</v>
      </c>
      <c r="K5" s="16">
        <f>VLOOKUP($B5,'국세청 금액'!$A:$C,2,0)</f>
        <v>23236</v>
      </c>
      <c r="L5" s="16">
        <f>VLOOKUP($B5,'국세청 금액'!$A:$C,3,0)</f>
        <v>2323</v>
      </c>
      <c r="M5" s="16">
        <f>VLOOKUP(B5,'국세청 금액'!A:D,4,0)</f>
        <v>0</v>
      </c>
      <c r="N5" s="17">
        <f>K5-H5</f>
        <v>0</v>
      </c>
      <c r="O5" s="17">
        <f>L5-I5</f>
        <v>0</v>
      </c>
      <c r="P5" s="17">
        <f>M5-J5</f>
        <v>0</v>
      </c>
      <c r="Q5" s="4" t="b">
        <f>AND(N5&lt;&gt;0,O5&lt;&gt;0)</f>
        <v>0</v>
      </c>
      <c r="R5" s="4" t="b">
        <f>P5&lt;&gt;0</f>
        <v>0</v>
      </c>
    </row>
    <row r="6" spans="2:18" x14ac:dyDescent="0.25">
      <c r="B6" s="15" t="s">
        <v>4</v>
      </c>
      <c r="C6" s="15" t="s">
        <v>5</v>
      </c>
      <c r="D6" s="15" t="s">
        <v>363</v>
      </c>
      <c r="E6" s="4" t="str">
        <f t="shared" ref="E6:E67" si="0">LEFT(D6,3)</f>
        <v>504</v>
      </c>
      <c r="F6" s="4" t="str">
        <f t="shared" ref="F6:F67" si="1">MID(D6,4,2)</f>
        <v>85</v>
      </c>
      <c r="G6" s="4" t="str">
        <f t="shared" ref="G6:G67" si="2">RIGHT(D6,5)</f>
        <v>35541</v>
      </c>
      <c r="H6" s="16">
        <f>IFERROR(VLOOKUP($B6,'SAP 금액'!$A:$C,2,0),0)</f>
        <v>197097354</v>
      </c>
      <c r="I6" s="16">
        <f>IFERROR(VLOOKUP($B6,'SAP 금액'!$A:$C,3,0),0)</f>
        <v>19709734</v>
      </c>
      <c r="J6" s="16">
        <f>IFERROR(VLOOKUP(B6,'SAP 금액'!E:F,2,0),0)</f>
        <v>2200255</v>
      </c>
      <c r="K6" s="16">
        <f>VLOOKUP($B6,'국세청 금액'!$A:$C,2,0)</f>
        <v>197097354</v>
      </c>
      <c r="L6" s="16">
        <f>VLOOKUP($B6,'국세청 금액'!$A:$C,3,0)</f>
        <v>19709734</v>
      </c>
      <c r="M6" s="16">
        <f>VLOOKUP(B6,'국세청 금액'!A:D,4,0)</f>
        <v>2200255</v>
      </c>
      <c r="N6" s="17">
        <f t="shared" ref="N6:N69" si="3">K6-H6</f>
        <v>0</v>
      </c>
      <c r="O6" s="17">
        <f t="shared" ref="O6:O69" si="4">L6-I6</f>
        <v>0</v>
      </c>
      <c r="P6" s="17">
        <f t="shared" ref="P6:P69" si="5">M6-J6</f>
        <v>0</v>
      </c>
      <c r="Q6" s="4" t="b">
        <f t="shared" ref="Q6:Q69" si="6">AND(N6&lt;&gt;0,O6&lt;&gt;0)</f>
        <v>0</v>
      </c>
      <c r="R6" s="4" t="b">
        <f t="shared" ref="R6:R69" si="7">P6&lt;&gt;0</f>
        <v>0</v>
      </c>
    </row>
    <row r="7" spans="2:18" x14ac:dyDescent="0.25">
      <c r="B7" s="15" t="s">
        <v>6</v>
      </c>
      <c r="C7" s="15" t="s">
        <v>7</v>
      </c>
      <c r="D7" s="15" t="s">
        <v>364</v>
      </c>
      <c r="E7" s="4" t="str">
        <f t="shared" si="0"/>
        <v>204</v>
      </c>
      <c r="F7" s="4" t="str">
        <f t="shared" si="1"/>
        <v>85</v>
      </c>
      <c r="G7" s="4" t="str">
        <f t="shared" si="2"/>
        <v>23903</v>
      </c>
      <c r="H7" s="16">
        <f>IFERROR(VLOOKUP($B7,'SAP 금액'!$A:$C,2,0),0)</f>
        <v>0</v>
      </c>
      <c r="I7" s="16">
        <f>IFERROR(VLOOKUP($B7,'SAP 금액'!$A:$C,3,0),0)</f>
        <v>0</v>
      </c>
      <c r="J7" s="16">
        <f>IFERROR(VLOOKUP(B7,'SAP 금액'!E:F,2,0),0)</f>
        <v>0</v>
      </c>
      <c r="K7" s="16">
        <f>VLOOKUP($B7,'국세청 금액'!$A:$C,2,0)</f>
        <v>0</v>
      </c>
      <c r="L7" s="16">
        <f>VLOOKUP($B7,'국세청 금액'!$A:$C,3,0)</f>
        <v>0</v>
      </c>
      <c r="M7" s="16">
        <f>VLOOKUP(B7,'국세청 금액'!A:D,4,0)</f>
        <v>0</v>
      </c>
      <c r="N7" s="17">
        <f t="shared" si="3"/>
        <v>0</v>
      </c>
      <c r="O7" s="17">
        <f t="shared" si="4"/>
        <v>0</v>
      </c>
      <c r="P7" s="17">
        <f t="shared" si="5"/>
        <v>0</v>
      </c>
      <c r="Q7" s="4" t="b">
        <f t="shared" si="6"/>
        <v>0</v>
      </c>
      <c r="R7" s="4" t="b">
        <f t="shared" si="7"/>
        <v>0</v>
      </c>
    </row>
    <row r="8" spans="2:18" x14ac:dyDescent="0.25">
      <c r="B8" s="15" t="s">
        <v>8</v>
      </c>
      <c r="C8" s="15" t="s">
        <v>9</v>
      </c>
      <c r="D8" s="15" t="s">
        <v>365</v>
      </c>
      <c r="E8" s="4" t="str">
        <f t="shared" si="0"/>
        <v>227</v>
      </c>
      <c r="F8" s="4" t="str">
        <f t="shared" si="1"/>
        <v>85</v>
      </c>
      <c r="G8" s="4" t="str">
        <f t="shared" si="2"/>
        <v>10245</v>
      </c>
      <c r="H8" s="16">
        <f>IFERROR(VLOOKUP($B8,'SAP 금액'!$A:$C,2,0),0)</f>
        <v>1800</v>
      </c>
      <c r="I8" s="16">
        <f>IFERROR(VLOOKUP($B8,'SAP 금액'!$A:$C,3,0),0)</f>
        <v>180</v>
      </c>
      <c r="J8" s="16">
        <f>IFERROR(VLOOKUP(B8,'SAP 금액'!E:F,2,0),0)</f>
        <v>0</v>
      </c>
      <c r="K8" s="16">
        <f>VLOOKUP($B8,'국세청 금액'!$A:$C,2,0)</f>
        <v>1800</v>
      </c>
      <c r="L8" s="16">
        <f>VLOOKUP($B8,'국세청 금액'!$A:$C,3,0)</f>
        <v>180</v>
      </c>
      <c r="M8" s="16">
        <f>VLOOKUP(B8,'국세청 금액'!A:D,4,0)</f>
        <v>0</v>
      </c>
      <c r="N8" s="17">
        <f t="shared" si="3"/>
        <v>0</v>
      </c>
      <c r="O8" s="17">
        <f t="shared" si="4"/>
        <v>0</v>
      </c>
      <c r="P8" s="17">
        <f t="shared" si="5"/>
        <v>0</v>
      </c>
      <c r="Q8" s="4" t="b">
        <f t="shared" si="6"/>
        <v>0</v>
      </c>
      <c r="R8" s="4" t="b">
        <f t="shared" si="7"/>
        <v>0</v>
      </c>
    </row>
    <row r="9" spans="2:18" x14ac:dyDescent="0.25">
      <c r="B9" s="15" t="s">
        <v>10</v>
      </c>
      <c r="C9" s="15" t="s">
        <v>11</v>
      </c>
      <c r="D9" s="15" t="s">
        <v>366</v>
      </c>
      <c r="E9" s="4" t="str">
        <f t="shared" si="0"/>
        <v>117</v>
      </c>
      <c r="F9" s="4" t="str">
        <f t="shared" si="1"/>
        <v>85</v>
      </c>
      <c r="G9" s="4" t="str">
        <f t="shared" si="2"/>
        <v>21635</v>
      </c>
      <c r="H9" s="16">
        <f>IFERROR(VLOOKUP($B9,'SAP 금액'!$A:$C,2,0),0)</f>
        <v>675098</v>
      </c>
      <c r="I9" s="16">
        <f>IFERROR(VLOOKUP($B9,'SAP 금액'!$A:$C,3,0),0)</f>
        <v>67510</v>
      </c>
      <c r="J9" s="16">
        <f>IFERROR(VLOOKUP(B9,'SAP 금액'!E:F,2,0),0)</f>
        <v>0</v>
      </c>
      <c r="K9" s="16">
        <f>VLOOKUP($B9,'국세청 금액'!$A:$C,2,0)</f>
        <v>675098</v>
      </c>
      <c r="L9" s="16">
        <f>VLOOKUP($B9,'국세청 금액'!$A:$C,3,0)</f>
        <v>67510</v>
      </c>
      <c r="M9" s="16">
        <f>VLOOKUP(B9,'국세청 금액'!A:D,4,0)</f>
        <v>0</v>
      </c>
      <c r="N9" s="17">
        <f t="shared" si="3"/>
        <v>0</v>
      </c>
      <c r="O9" s="17">
        <f t="shared" si="4"/>
        <v>0</v>
      </c>
      <c r="P9" s="17">
        <f t="shared" si="5"/>
        <v>0</v>
      </c>
      <c r="Q9" s="4" t="b">
        <f t="shared" si="6"/>
        <v>0</v>
      </c>
      <c r="R9" s="4" t="b">
        <f t="shared" si="7"/>
        <v>0</v>
      </c>
    </row>
    <row r="10" spans="2:18" x14ac:dyDescent="0.25">
      <c r="B10" s="15" t="s">
        <v>12</v>
      </c>
      <c r="C10" s="15" t="s">
        <v>13</v>
      </c>
      <c r="D10" s="15" t="s">
        <v>367</v>
      </c>
      <c r="E10" s="4" t="str">
        <f t="shared" si="0"/>
        <v>119</v>
      </c>
      <c r="F10" s="4" t="str">
        <f t="shared" si="1"/>
        <v>85</v>
      </c>
      <c r="G10" s="4" t="str">
        <f t="shared" si="2"/>
        <v>34081</v>
      </c>
      <c r="H10" s="16">
        <f>IFERROR(VLOOKUP($B10,'SAP 금액'!$A:$C,2,0),0)</f>
        <v>5379143</v>
      </c>
      <c r="I10" s="16">
        <f>IFERROR(VLOOKUP($B10,'SAP 금액'!$A:$C,3,0),0)</f>
        <v>537914</v>
      </c>
      <c r="J10" s="16">
        <f>IFERROR(VLOOKUP(B10,'SAP 금액'!E:F,2,0),0)</f>
        <v>0</v>
      </c>
      <c r="K10" s="16">
        <f>VLOOKUP($B10,'국세청 금액'!$A:$C,2,0)</f>
        <v>5379143</v>
      </c>
      <c r="L10" s="16">
        <f>VLOOKUP($B10,'국세청 금액'!$A:$C,3,0)</f>
        <v>537914</v>
      </c>
      <c r="M10" s="16">
        <f>VLOOKUP(B10,'국세청 금액'!A:D,4,0)</f>
        <v>0</v>
      </c>
      <c r="N10" s="17">
        <f t="shared" si="3"/>
        <v>0</v>
      </c>
      <c r="O10" s="17">
        <f t="shared" si="4"/>
        <v>0</v>
      </c>
      <c r="P10" s="17">
        <f t="shared" si="5"/>
        <v>0</v>
      </c>
      <c r="Q10" s="4" t="b">
        <f t="shared" si="6"/>
        <v>0</v>
      </c>
      <c r="R10" s="4" t="b">
        <f t="shared" si="7"/>
        <v>0</v>
      </c>
    </row>
    <row r="11" spans="2:18" x14ac:dyDescent="0.25">
      <c r="B11" s="15" t="s">
        <v>14</v>
      </c>
      <c r="C11" s="15" t="s">
        <v>15</v>
      </c>
      <c r="D11" s="15" t="s">
        <v>368</v>
      </c>
      <c r="E11" s="4" t="str">
        <f t="shared" si="0"/>
        <v>141</v>
      </c>
      <c r="F11" s="4" t="str">
        <f t="shared" si="1"/>
        <v>85</v>
      </c>
      <c r="G11" s="4" t="str">
        <f t="shared" si="2"/>
        <v>12124</v>
      </c>
      <c r="H11" s="16">
        <f>IFERROR(VLOOKUP($B11,'SAP 금액'!$A:$C,2,0),0)</f>
        <v>56842402</v>
      </c>
      <c r="I11" s="16">
        <f>IFERROR(VLOOKUP($B11,'SAP 금액'!$A:$C,3,0),0)</f>
        <v>5684240</v>
      </c>
      <c r="J11" s="16">
        <f>IFERROR(VLOOKUP(B11,'SAP 금액'!E:F,2,0),0)</f>
        <v>0</v>
      </c>
      <c r="K11" s="16">
        <f>VLOOKUP($B11,'국세청 금액'!$A:$C,2,0)</f>
        <v>56842402</v>
      </c>
      <c r="L11" s="16">
        <f>VLOOKUP($B11,'국세청 금액'!$A:$C,3,0)</f>
        <v>5684240</v>
      </c>
      <c r="M11" s="16">
        <f>VLOOKUP(B11,'국세청 금액'!A:D,4,0)</f>
        <v>0</v>
      </c>
      <c r="N11" s="17">
        <f t="shared" si="3"/>
        <v>0</v>
      </c>
      <c r="O11" s="17">
        <f t="shared" si="4"/>
        <v>0</v>
      </c>
      <c r="P11" s="17">
        <f t="shared" si="5"/>
        <v>0</v>
      </c>
      <c r="Q11" s="4" t="b">
        <f t="shared" si="6"/>
        <v>0</v>
      </c>
      <c r="R11" s="4" t="b">
        <f t="shared" si="7"/>
        <v>0</v>
      </c>
    </row>
    <row r="12" spans="2:18" x14ac:dyDescent="0.25">
      <c r="B12" s="15" t="s">
        <v>18</v>
      </c>
      <c r="C12" s="15" t="s">
        <v>19</v>
      </c>
      <c r="D12" s="15" t="s">
        <v>370</v>
      </c>
      <c r="E12" s="4" t="str">
        <f t="shared" si="0"/>
        <v>113</v>
      </c>
      <c r="F12" s="4" t="str">
        <f t="shared" si="1"/>
        <v>85</v>
      </c>
      <c r="G12" s="4" t="str">
        <f t="shared" si="2"/>
        <v>19030</v>
      </c>
      <c r="H12" s="16">
        <f>IFERROR(VLOOKUP($B12,'SAP 금액'!$A:$C,2,0),0)</f>
        <v>53632475455</v>
      </c>
      <c r="I12" s="16">
        <f>IFERROR(VLOOKUP($B12,'SAP 금액'!$A:$C,3,0),0)</f>
        <v>5323825402</v>
      </c>
      <c r="J12" s="16">
        <f>IFERROR(VLOOKUP(B12,'SAP 금액'!E:F,2,0),0)</f>
        <v>683444019</v>
      </c>
      <c r="K12" s="16">
        <f>VLOOKUP($B12,'국세청 금액'!$A:$C,2,0)</f>
        <v>53647278952</v>
      </c>
      <c r="L12" s="16">
        <f>VLOOKUP($B12,'국세청 금액'!$A:$C,3,0)</f>
        <v>5325305753</v>
      </c>
      <c r="M12" s="16">
        <f>VLOOKUP(B12,'국세청 금액'!A:D,4,0)</f>
        <v>683444019</v>
      </c>
      <c r="N12" s="17">
        <f t="shared" si="3"/>
        <v>14803497</v>
      </c>
      <c r="O12" s="17">
        <f t="shared" si="4"/>
        <v>1480351</v>
      </c>
      <c r="P12" s="17">
        <f t="shared" si="5"/>
        <v>0</v>
      </c>
      <c r="Q12" s="4" t="b">
        <f t="shared" si="6"/>
        <v>1</v>
      </c>
      <c r="R12" s="4" t="b">
        <f t="shared" si="7"/>
        <v>0</v>
      </c>
    </row>
    <row r="13" spans="2:18" x14ac:dyDescent="0.25">
      <c r="B13" s="15" t="s">
        <v>20</v>
      </c>
      <c r="C13" s="15" t="s">
        <v>21</v>
      </c>
      <c r="D13" s="15" t="s">
        <v>371</v>
      </c>
      <c r="E13" s="4" t="str">
        <f t="shared" si="0"/>
        <v>201</v>
      </c>
      <c r="F13" s="4" t="str">
        <f t="shared" si="1"/>
        <v>85</v>
      </c>
      <c r="G13" s="4" t="str">
        <f t="shared" si="2"/>
        <v>15457</v>
      </c>
      <c r="H13" s="16">
        <f>IFERROR(VLOOKUP($B13,'SAP 금액'!$A:$C,2,0),0)</f>
        <v>30507487</v>
      </c>
      <c r="I13" s="16">
        <f>IFERROR(VLOOKUP($B13,'SAP 금액'!$A:$C,3,0),0)</f>
        <v>3050752</v>
      </c>
      <c r="J13" s="16">
        <f>IFERROR(VLOOKUP(B13,'SAP 금액'!E:F,2,0),0)</f>
        <v>244000</v>
      </c>
      <c r="K13" s="16">
        <f>VLOOKUP($B13,'국세청 금액'!$A:$C,2,0)</f>
        <v>30507487</v>
      </c>
      <c r="L13" s="16">
        <f>VLOOKUP($B13,'국세청 금액'!$A:$C,3,0)</f>
        <v>3050752</v>
      </c>
      <c r="M13" s="16">
        <f>VLOOKUP(B13,'국세청 금액'!A:D,4,0)</f>
        <v>244000</v>
      </c>
      <c r="N13" s="17">
        <f t="shared" si="3"/>
        <v>0</v>
      </c>
      <c r="O13" s="17">
        <f t="shared" si="4"/>
        <v>0</v>
      </c>
      <c r="P13" s="17">
        <f t="shared" si="5"/>
        <v>0</v>
      </c>
      <c r="Q13" s="4" t="b">
        <f t="shared" si="6"/>
        <v>0</v>
      </c>
      <c r="R13" s="4" t="b">
        <f t="shared" si="7"/>
        <v>0</v>
      </c>
    </row>
    <row r="14" spans="2:18" x14ac:dyDescent="0.25">
      <c r="B14" s="15" t="s">
        <v>22</v>
      </c>
      <c r="C14" s="15" t="s">
        <v>23</v>
      </c>
      <c r="D14" s="15" t="s">
        <v>372</v>
      </c>
      <c r="E14" s="4" t="str">
        <f t="shared" si="0"/>
        <v>110</v>
      </c>
      <c r="F14" s="4" t="str">
        <f t="shared" si="1"/>
        <v>85</v>
      </c>
      <c r="G14" s="4" t="str">
        <f t="shared" si="2"/>
        <v>18051</v>
      </c>
      <c r="H14" s="16">
        <f>IFERROR(VLOOKUP($B14,'SAP 금액'!$A:$C,2,0),0)</f>
        <v>25220022</v>
      </c>
      <c r="I14" s="16">
        <f>IFERROR(VLOOKUP($B14,'SAP 금액'!$A:$C,3,0),0)</f>
        <v>2522001</v>
      </c>
      <c r="J14" s="16">
        <f>IFERROR(VLOOKUP(B14,'SAP 금액'!E:F,2,0),0)</f>
        <v>0</v>
      </c>
      <c r="K14" s="16">
        <f>VLOOKUP($B14,'국세청 금액'!$A:$C,2,0)</f>
        <v>25220022</v>
      </c>
      <c r="L14" s="16">
        <f>VLOOKUP($B14,'국세청 금액'!$A:$C,3,0)</f>
        <v>2522001</v>
      </c>
      <c r="M14" s="16">
        <f>VLOOKUP(B14,'국세청 금액'!A:D,4,0)</f>
        <v>0</v>
      </c>
      <c r="N14" s="17">
        <f t="shared" si="3"/>
        <v>0</v>
      </c>
      <c r="O14" s="17">
        <f t="shared" si="4"/>
        <v>0</v>
      </c>
      <c r="P14" s="17">
        <f t="shared" si="5"/>
        <v>0</v>
      </c>
      <c r="Q14" s="4" t="b">
        <f t="shared" si="6"/>
        <v>0</v>
      </c>
      <c r="R14" s="4" t="b">
        <f t="shared" si="7"/>
        <v>0</v>
      </c>
    </row>
    <row r="15" spans="2:18" x14ac:dyDescent="0.25">
      <c r="B15" s="15" t="s">
        <v>24</v>
      </c>
      <c r="C15" s="15" t="s">
        <v>25</v>
      </c>
      <c r="D15" s="15" t="s">
        <v>373</v>
      </c>
      <c r="E15" s="4" t="str">
        <f t="shared" si="0"/>
        <v>110</v>
      </c>
      <c r="F15" s="4" t="str">
        <f t="shared" si="1"/>
        <v>85</v>
      </c>
      <c r="G15" s="4" t="str">
        <f t="shared" si="2"/>
        <v>17839</v>
      </c>
      <c r="H15" s="16">
        <f>IFERROR(VLOOKUP($B15,'SAP 금액'!$A:$C,2,0),0)</f>
        <v>23253591</v>
      </c>
      <c r="I15" s="16">
        <f>IFERROR(VLOOKUP($B15,'SAP 금액'!$A:$C,3,0),0)</f>
        <v>2325358</v>
      </c>
      <c r="J15" s="16">
        <f>IFERROR(VLOOKUP(B15,'SAP 금액'!E:F,2,0),0)</f>
        <v>0</v>
      </c>
      <c r="K15" s="16">
        <f>VLOOKUP($B15,'국세청 금액'!$A:$C,2,0)</f>
        <v>23253591</v>
      </c>
      <c r="L15" s="16">
        <f>VLOOKUP($B15,'국세청 금액'!$A:$C,3,0)</f>
        <v>2325358</v>
      </c>
      <c r="M15" s="16">
        <f>VLOOKUP(B15,'국세청 금액'!A:D,4,0)</f>
        <v>0</v>
      </c>
      <c r="N15" s="17">
        <f t="shared" si="3"/>
        <v>0</v>
      </c>
      <c r="O15" s="17">
        <f t="shared" si="4"/>
        <v>0</v>
      </c>
      <c r="P15" s="17">
        <f t="shared" si="5"/>
        <v>0</v>
      </c>
      <c r="Q15" s="4" t="b">
        <f t="shared" si="6"/>
        <v>0</v>
      </c>
      <c r="R15" s="4" t="b">
        <f t="shared" si="7"/>
        <v>0</v>
      </c>
    </row>
    <row r="16" spans="2:18" x14ac:dyDescent="0.25">
      <c r="B16" s="15" t="s">
        <v>26</v>
      </c>
      <c r="C16" s="15" t="s">
        <v>27</v>
      </c>
      <c r="D16" s="15" t="s">
        <v>374</v>
      </c>
      <c r="E16" s="4" t="str">
        <f t="shared" si="0"/>
        <v>206</v>
      </c>
      <c r="F16" s="4" t="str">
        <f t="shared" si="1"/>
        <v>85</v>
      </c>
      <c r="G16" s="4" t="str">
        <f t="shared" si="2"/>
        <v>22797</v>
      </c>
      <c r="H16" s="16">
        <f>IFERROR(VLOOKUP($B16,'SAP 금액'!$A:$C,2,0),0)</f>
        <v>50474384</v>
      </c>
      <c r="I16" s="16">
        <f>IFERROR(VLOOKUP($B16,'SAP 금액'!$A:$C,3,0),0)</f>
        <v>5047439</v>
      </c>
      <c r="J16" s="16">
        <f>IFERROR(VLOOKUP(B16,'SAP 금액'!E:F,2,0),0)</f>
        <v>158200</v>
      </c>
      <c r="K16" s="16">
        <f>VLOOKUP($B16,'국세청 금액'!$A:$C,2,0)</f>
        <v>50474384</v>
      </c>
      <c r="L16" s="16">
        <f>VLOOKUP($B16,'국세청 금액'!$A:$C,3,0)</f>
        <v>5047439</v>
      </c>
      <c r="M16" s="16">
        <f>VLOOKUP(B16,'국세청 금액'!A:D,4,0)</f>
        <v>158200</v>
      </c>
      <c r="N16" s="17">
        <f t="shared" si="3"/>
        <v>0</v>
      </c>
      <c r="O16" s="17">
        <f t="shared" si="4"/>
        <v>0</v>
      </c>
      <c r="P16" s="17">
        <f t="shared" si="5"/>
        <v>0</v>
      </c>
      <c r="Q16" s="4" t="b">
        <f t="shared" si="6"/>
        <v>0</v>
      </c>
      <c r="R16" s="4" t="b">
        <f t="shared" si="7"/>
        <v>0</v>
      </c>
    </row>
    <row r="17" spans="2:18" x14ac:dyDescent="0.25">
      <c r="B17" s="15" t="s">
        <v>28</v>
      </c>
      <c r="C17" s="15" t="s">
        <v>29</v>
      </c>
      <c r="D17" s="15" t="s">
        <v>375</v>
      </c>
      <c r="E17" s="4" t="str">
        <f t="shared" si="0"/>
        <v>206</v>
      </c>
      <c r="F17" s="4" t="str">
        <f t="shared" si="1"/>
        <v>85</v>
      </c>
      <c r="G17" s="4" t="str">
        <f t="shared" si="2"/>
        <v>18667</v>
      </c>
      <c r="H17" s="16">
        <f>IFERROR(VLOOKUP($B17,'SAP 금액'!$A:$C,2,0),0)</f>
        <v>16820791</v>
      </c>
      <c r="I17" s="16">
        <f>IFERROR(VLOOKUP($B17,'SAP 금액'!$A:$C,3,0),0)</f>
        <v>1682079</v>
      </c>
      <c r="J17" s="16">
        <f>IFERROR(VLOOKUP(B17,'SAP 금액'!E:F,2,0),0)</f>
        <v>0</v>
      </c>
      <c r="K17" s="16">
        <f>VLOOKUP($B17,'국세청 금액'!$A:$C,2,0)</f>
        <v>16820791</v>
      </c>
      <c r="L17" s="16">
        <f>VLOOKUP($B17,'국세청 금액'!$A:$C,3,0)</f>
        <v>1682079</v>
      </c>
      <c r="M17" s="16">
        <f>VLOOKUP(B17,'국세청 금액'!A:D,4,0)</f>
        <v>0</v>
      </c>
      <c r="N17" s="17">
        <f t="shared" si="3"/>
        <v>0</v>
      </c>
      <c r="O17" s="17">
        <f t="shared" si="4"/>
        <v>0</v>
      </c>
      <c r="P17" s="17">
        <f t="shared" si="5"/>
        <v>0</v>
      </c>
      <c r="Q17" s="4" t="b">
        <f t="shared" si="6"/>
        <v>0</v>
      </c>
      <c r="R17" s="4" t="b">
        <f t="shared" si="7"/>
        <v>0</v>
      </c>
    </row>
    <row r="18" spans="2:18" x14ac:dyDescent="0.25">
      <c r="B18" s="15" t="s">
        <v>30</v>
      </c>
      <c r="C18" s="15" t="s">
        <v>31</v>
      </c>
      <c r="D18" s="15" t="s">
        <v>376</v>
      </c>
      <c r="E18" s="4" t="str">
        <f t="shared" si="0"/>
        <v>119</v>
      </c>
      <c r="F18" s="4" t="str">
        <f t="shared" si="1"/>
        <v>85</v>
      </c>
      <c r="G18" s="4" t="str">
        <f t="shared" si="2"/>
        <v>17651</v>
      </c>
      <c r="H18" s="16">
        <f>IFERROR(VLOOKUP($B18,'SAP 금액'!$A:$C,2,0),0)</f>
        <v>15911235</v>
      </c>
      <c r="I18" s="16">
        <f>IFERROR(VLOOKUP($B18,'SAP 금액'!$A:$C,3,0),0)</f>
        <v>1591058</v>
      </c>
      <c r="J18" s="16">
        <f>IFERROR(VLOOKUP(B18,'SAP 금액'!E:F,2,0),0)</f>
        <v>5599</v>
      </c>
      <c r="K18" s="16">
        <f>VLOOKUP($B18,'국세청 금액'!$A:$C,2,0)</f>
        <v>15911235</v>
      </c>
      <c r="L18" s="16">
        <f>VLOOKUP($B18,'국세청 금액'!$A:$C,3,0)</f>
        <v>1591058</v>
      </c>
      <c r="M18" s="16">
        <f>VLOOKUP(B18,'국세청 금액'!A:D,4,0)</f>
        <v>5599</v>
      </c>
      <c r="N18" s="17">
        <f t="shared" si="3"/>
        <v>0</v>
      </c>
      <c r="O18" s="17">
        <f t="shared" si="4"/>
        <v>0</v>
      </c>
      <c r="P18" s="17">
        <f t="shared" si="5"/>
        <v>0</v>
      </c>
      <c r="Q18" s="4" t="b">
        <f t="shared" si="6"/>
        <v>0</v>
      </c>
      <c r="R18" s="4" t="b">
        <f t="shared" si="7"/>
        <v>0</v>
      </c>
    </row>
    <row r="19" spans="2:18" x14ac:dyDescent="0.25">
      <c r="B19" s="15" t="s">
        <v>32</v>
      </c>
      <c r="C19" s="15" t="s">
        <v>33</v>
      </c>
      <c r="D19" s="15" t="s">
        <v>377</v>
      </c>
      <c r="E19" s="4" t="str">
        <f t="shared" si="0"/>
        <v>122</v>
      </c>
      <c r="F19" s="4" t="str">
        <f t="shared" si="1"/>
        <v>85</v>
      </c>
      <c r="G19" s="4" t="str">
        <f t="shared" si="2"/>
        <v>27515</v>
      </c>
      <c r="H19" s="16">
        <f>IFERROR(VLOOKUP($B19,'SAP 금액'!$A:$C,2,0),0)</f>
        <v>21836784</v>
      </c>
      <c r="I19" s="16">
        <f>IFERROR(VLOOKUP($B19,'SAP 금액'!$A:$C,3,0),0)</f>
        <v>2183678</v>
      </c>
      <c r="J19" s="16">
        <f>IFERROR(VLOOKUP(B19,'SAP 금액'!E:F,2,0),0)</f>
        <v>0</v>
      </c>
      <c r="K19" s="16">
        <f>VLOOKUP($B19,'국세청 금액'!$A:$C,2,0)</f>
        <v>21836784</v>
      </c>
      <c r="L19" s="16">
        <f>VLOOKUP($B19,'국세청 금액'!$A:$C,3,0)</f>
        <v>2183678</v>
      </c>
      <c r="M19" s="16">
        <f>VLOOKUP(B19,'국세청 금액'!A:D,4,0)</f>
        <v>0</v>
      </c>
      <c r="N19" s="17">
        <f t="shared" si="3"/>
        <v>0</v>
      </c>
      <c r="O19" s="17">
        <f t="shared" si="4"/>
        <v>0</v>
      </c>
      <c r="P19" s="17">
        <f t="shared" si="5"/>
        <v>0</v>
      </c>
      <c r="Q19" s="4" t="b">
        <f t="shared" si="6"/>
        <v>0</v>
      </c>
      <c r="R19" s="4" t="b">
        <f t="shared" si="7"/>
        <v>0</v>
      </c>
    </row>
    <row r="20" spans="2:18" x14ac:dyDescent="0.25">
      <c r="B20" s="15" t="s">
        <v>34</v>
      </c>
      <c r="C20" s="15" t="s">
        <v>35</v>
      </c>
      <c r="D20" s="15" t="s">
        <v>378</v>
      </c>
      <c r="E20" s="4" t="str">
        <f t="shared" si="0"/>
        <v>201</v>
      </c>
      <c r="F20" s="4" t="str">
        <f t="shared" si="1"/>
        <v>85</v>
      </c>
      <c r="G20" s="4" t="str">
        <f t="shared" si="2"/>
        <v>21380</v>
      </c>
      <c r="H20" s="16">
        <f>IFERROR(VLOOKUP($B20,'SAP 금액'!$A:$C,2,0),0)</f>
        <v>0</v>
      </c>
      <c r="I20" s="16">
        <f>IFERROR(VLOOKUP($B20,'SAP 금액'!$A:$C,3,0),0)</f>
        <v>0</v>
      </c>
      <c r="J20" s="16">
        <f>IFERROR(VLOOKUP(B20,'SAP 금액'!E:F,2,0),0)</f>
        <v>0</v>
      </c>
      <c r="K20" s="16">
        <f>VLOOKUP($B20,'국세청 금액'!$A:$C,2,0)</f>
        <v>0</v>
      </c>
      <c r="L20" s="16">
        <f>VLOOKUP($B20,'국세청 금액'!$A:$C,3,0)</f>
        <v>0</v>
      </c>
      <c r="M20" s="16">
        <f>VLOOKUP(B20,'국세청 금액'!A:D,4,0)</f>
        <v>0</v>
      </c>
      <c r="N20" s="17">
        <f t="shared" si="3"/>
        <v>0</v>
      </c>
      <c r="O20" s="17">
        <f t="shared" si="4"/>
        <v>0</v>
      </c>
      <c r="P20" s="17">
        <f t="shared" si="5"/>
        <v>0</v>
      </c>
      <c r="Q20" s="4" t="b">
        <f t="shared" si="6"/>
        <v>0</v>
      </c>
      <c r="R20" s="4" t="b">
        <f t="shared" si="7"/>
        <v>0</v>
      </c>
    </row>
    <row r="21" spans="2:18" x14ac:dyDescent="0.25">
      <c r="B21" s="15" t="s">
        <v>36</v>
      </c>
      <c r="C21" s="15" t="s">
        <v>37</v>
      </c>
      <c r="D21" s="15" t="s">
        <v>379</v>
      </c>
      <c r="E21" s="4" t="str">
        <f t="shared" si="0"/>
        <v>201</v>
      </c>
      <c r="F21" s="4" t="str">
        <f t="shared" si="1"/>
        <v>85</v>
      </c>
      <c r="G21" s="4" t="str">
        <f t="shared" si="2"/>
        <v>23904</v>
      </c>
      <c r="H21" s="16">
        <f>IFERROR(VLOOKUP($B21,'SAP 금액'!$A:$C,2,0),0)</f>
        <v>115668354</v>
      </c>
      <c r="I21" s="16">
        <f>IFERROR(VLOOKUP($B21,'SAP 금액'!$A:$C,3,0),0)</f>
        <v>11566851</v>
      </c>
      <c r="J21" s="16">
        <f>IFERROR(VLOOKUP(B21,'SAP 금액'!E:F,2,0),0)</f>
        <v>0</v>
      </c>
      <c r="K21" s="16">
        <f>VLOOKUP($B21,'국세청 금액'!$A:$C,2,0)</f>
        <v>115668354</v>
      </c>
      <c r="L21" s="16">
        <f>VLOOKUP($B21,'국세청 금액'!$A:$C,3,0)</f>
        <v>11566851</v>
      </c>
      <c r="M21" s="16">
        <f>VLOOKUP(B21,'국세청 금액'!A:D,4,0)</f>
        <v>0</v>
      </c>
      <c r="N21" s="17">
        <f t="shared" si="3"/>
        <v>0</v>
      </c>
      <c r="O21" s="17">
        <f t="shared" si="4"/>
        <v>0</v>
      </c>
      <c r="P21" s="17">
        <f t="shared" si="5"/>
        <v>0</v>
      </c>
      <c r="Q21" s="4" t="b">
        <f t="shared" si="6"/>
        <v>0</v>
      </c>
      <c r="R21" s="4" t="b">
        <f t="shared" si="7"/>
        <v>0</v>
      </c>
    </row>
    <row r="22" spans="2:18" x14ac:dyDescent="0.25">
      <c r="B22" s="15" t="s">
        <v>38</v>
      </c>
      <c r="C22" s="15" t="s">
        <v>39</v>
      </c>
      <c r="D22" s="15" t="s">
        <v>380</v>
      </c>
      <c r="E22" s="4" t="str">
        <f t="shared" si="0"/>
        <v>107</v>
      </c>
      <c r="F22" s="4" t="str">
        <f t="shared" si="1"/>
        <v>85</v>
      </c>
      <c r="G22" s="4" t="str">
        <f t="shared" si="2"/>
        <v>39292</v>
      </c>
      <c r="H22" s="16">
        <f>IFERROR(VLOOKUP($B22,'SAP 금액'!$A:$C,2,0),0)</f>
        <v>2499599</v>
      </c>
      <c r="I22" s="16">
        <f>IFERROR(VLOOKUP($B22,'SAP 금액'!$A:$C,3,0),0)</f>
        <v>249959</v>
      </c>
      <c r="J22" s="16">
        <f>IFERROR(VLOOKUP(B22,'SAP 금액'!E:F,2,0),0)</f>
        <v>0</v>
      </c>
      <c r="K22" s="16">
        <f>VLOOKUP($B22,'국세청 금액'!$A:$C,2,0)</f>
        <v>2499599</v>
      </c>
      <c r="L22" s="16">
        <f>VLOOKUP($B22,'국세청 금액'!$A:$C,3,0)</f>
        <v>249959</v>
      </c>
      <c r="M22" s="16">
        <f>VLOOKUP(B22,'국세청 금액'!A:D,4,0)</f>
        <v>0</v>
      </c>
      <c r="N22" s="17">
        <f t="shared" si="3"/>
        <v>0</v>
      </c>
      <c r="O22" s="17">
        <f t="shared" si="4"/>
        <v>0</v>
      </c>
      <c r="P22" s="17">
        <f t="shared" si="5"/>
        <v>0</v>
      </c>
      <c r="Q22" s="4" t="b">
        <f t="shared" si="6"/>
        <v>0</v>
      </c>
      <c r="R22" s="4" t="b">
        <f t="shared" si="7"/>
        <v>0</v>
      </c>
    </row>
    <row r="23" spans="2:18" x14ac:dyDescent="0.25">
      <c r="B23" s="15" t="s">
        <v>40</v>
      </c>
      <c r="C23" s="15" t="s">
        <v>41</v>
      </c>
      <c r="D23" s="15" t="s">
        <v>381</v>
      </c>
      <c r="E23" s="4" t="str">
        <f t="shared" si="0"/>
        <v>124</v>
      </c>
      <c r="F23" s="4" t="str">
        <f t="shared" si="1"/>
        <v>85</v>
      </c>
      <c r="G23" s="4" t="str">
        <f t="shared" si="2"/>
        <v>67250</v>
      </c>
      <c r="H23" s="16">
        <f>IFERROR(VLOOKUP($B23,'SAP 금액'!$A:$C,2,0),0)</f>
        <v>420000</v>
      </c>
      <c r="I23" s="16">
        <f>IFERROR(VLOOKUP($B23,'SAP 금액'!$A:$C,3,0),0)</f>
        <v>42000</v>
      </c>
      <c r="J23" s="16">
        <f>IFERROR(VLOOKUP(B23,'SAP 금액'!E:F,2,0),0)</f>
        <v>0</v>
      </c>
      <c r="K23" s="16">
        <f>VLOOKUP($B23,'국세청 금액'!$A:$C,2,0)</f>
        <v>420000</v>
      </c>
      <c r="L23" s="16">
        <f>VLOOKUP($B23,'국세청 금액'!$A:$C,3,0)</f>
        <v>42000</v>
      </c>
      <c r="M23" s="16">
        <f>VLOOKUP(B23,'국세청 금액'!A:D,4,0)</f>
        <v>0</v>
      </c>
      <c r="N23" s="17">
        <f t="shared" si="3"/>
        <v>0</v>
      </c>
      <c r="O23" s="17">
        <f t="shared" si="4"/>
        <v>0</v>
      </c>
      <c r="P23" s="17">
        <f t="shared" si="5"/>
        <v>0</v>
      </c>
      <c r="Q23" s="4" t="b">
        <f t="shared" si="6"/>
        <v>0</v>
      </c>
      <c r="R23" s="4" t="b">
        <f t="shared" si="7"/>
        <v>0</v>
      </c>
    </row>
    <row r="24" spans="2:18" x14ac:dyDescent="0.25">
      <c r="B24" s="15" t="s">
        <v>42</v>
      </c>
      <c r="C24" s="15" t="s">
        <v>43</v>
      </c>
      <c r="D24" s="15" t="s">
        <v>382</v>
      </c>
      <c r="E24" s="4" t="str">
        <f t="shared" si="0"/>
        <v>204</v>
      </c>
      <c r="F24" s="4" t="str">
        <f t="shared" si="1"/>
        <v>85</v>
      </c>
      <c r="G24" s="4" t="str">
        <f t="shared" si="2"/>
        <v>22578</v>
      </c>
      <c r="H24" s="16">
        <f>IFERROR(VLOOKUP($B24,'SAP 금액'!$A:$C,2,0),0)</f>
        <v>15022353</v>
      </c>
      <c r="I24" s="16">
        <f>IFERROR(VLOOKUP($B24,'SAP 금액'!$A:$C,3,0),0)</f>
        <v>1502234</v>
      </c>
      <c r="J24" s="16">
        <f>IFERROR(VLOOKUP(B24,'SAP 금액'!E:F,2,0),0)</f>
        <v>0</v>
      </c>
      <c r="K24" s="16">
        <f>VLOOKUP($B24,'국세청 금액'!$A:$C,2,0)</f>
        <v>15022353</v>
      </c>
      <c r="L24" s="16">
        <f>VLOOKUP($B24,'국세청 금액'!$A:$C,3,0)</f>
        <v>1502234</v>
      </c>
      <c r="M24" s="16">
        <f>VLOOKUP(B24,'국세청 금액'!A:D,4,0)</f>
        <v>0</v>
      </c>
      <c r="N24" s="17">
        <f t="shared" si="3"/>
        <v>0</v>
      </c>
      <c r="O24" s="17">
        <f t="shared" si="4"/>
        <v>0</v>
      </c>
      <c r="P24" s="17">
        <f t="shared" si="5"/>
        <v>0</v>
      </c>
      <c r="Q24" s="4" t="b">
        <f t="shared" si="6"/>
        <v>0</v>
      </c>
      <c r="R24" s="4" t="b">
        <f t="shared" si="7"/>
        <v>0</v>
      </c>
    </row>
    <row r="25" spans="2:18" x14ac:dyDescent="0.25">
      <c r="B25" s="15" t="s">
        <v>44</v>
      </c>
      <c r="C25" s="15" t="s">
        <v>45</v>
      </c>
      <c r="D25" s="15" t="s">
        <v>383</v>
      </c>
      <c r="E25" s="4" t="str">
        <f t="shared" si="0"/>
        <v>605</v>
      </c>
      <c r="F25" s="4" t="str">
        <f t="shared" si="1"/>
        <v>85</v>
      </c>
      <c r="G25" s="4" t="str">
        <f t="shared" si="2"/>
        <v>37556</v>
      </c>
      <c r="H25" s="16">
        <f>IFERROR(VLOOKUP($B25,'SAP 금액'!$A:$C,2,0),0)</f>
        <v>50540618</v>
      </c>
      <c r="I25" s="16">
        <f>IFERROR(VLOOKUP($B25,'SAP 금액'!$A:$C,3,0),0)</f>
        <v>5054061</v>
      </c>
      <c r="J25" s="16">
        <f>IFERROR(VLOOKUP(B25,'SAP 금액'!E:F,2,0),0)</f>
        <v>0</v>
      </c>
      <c r="K25" s="16">
        <f>VLOOKUP($B25,'국세청 금액'!$A:$C,2,0)</f>
        <v>50540618</v>
      </c>
      <c r="L25" s="16">
        <f>VLOOKUP($B25,'국세청 금액'!$A:$C,3,0)</f>
        <v>5054061</v>
      </c>
      <c r="M25" s="16">
        <f>VLOOKUP(B25,'국세청 금액'!A:D,4,0)</f>
        <v>0</v>
      </c>
      <c r="N25" s="17">
        <f t="shared" si="3"/>
        <v>0</v>
      </c>
      <c r="O25" s="17">
        <f t="shared" si="4"/>
        <v>0</v>
      </c>
      <c r="P25" s="17">
        <f t="shared" si="5"/>
        <v>0</v>
      </c>
      <c r="Q25" s="4" t="b">
        <f t="shared" si="6"/>
        <v>0</v>
      </c>
      <c r="R25" s="4" t="b">
        <f t="shared" si="7"/>
        <v>0</v>
      </c>
    </row>
    <row r="26" spans="2:18" x14ac:dyDescent="0.25">
      <c r="B26" s="15" t="s">
        <v>46</v>
      </c>
      <c r="C26" s="15" t="s">
        <v>47</v>
      </c>
      <c r="D26" s="15" t="s">
        <v>384</v>
      </c>
      <c r="E26" s="4" t="str">
        <f t="shared" si="0"/>
        <v>227</v>
      </c>
      <c r="F26" s="4" t="str">
        <f t="shared" si="1"/>
        <v>85</v>
      </c>
      <c r="G26" s="4" t="str">
        <f t="shared" si="2"/>
        <v>02411</v>
      </c>
      <c r="H26" s="16">
        <f>IFERROR(VLOOKUP($B26,'SAP 금액'!$A:$C,2,0),0)</f>
        <v>0</v>
      </c>
      <c r="I26" s="16">
        <f>IFERROR(VLOOKUP($B26,'SAP 금액'!$A:$C,3,0),0)</f>
        <v>0</v>
      </c>
      <c r="J26" s="16">
        <f>IFERROR(VLOOKUP(B26,'SAP 금액'!E:F,2,0),0)</f>
        <v>0</v>
      </c>
      <c r="K26" s="16">
        <f>VLOOKUP($B26,'국세청 금액'!$A:$C,2,0)</f>
        <v>0</v>
      </c>
      <c r="L26" s="16">
        <f>VLOOKUP($B26,'국세청 금액'!$A:$C,3,0)</f>
        <v>0</v>
      </c>
      <c r="M26" s="16">
        <f>VLOOKUP(B26,'국세청 금액'!A:D,4,0)</f>
        <v>0</v>
      </c>
      <c r="N26" s="17">
        <f t="shared" si="3"/>
        <v>0</v>
      </c>
      <c r="O26" s="17">
        <f t="shared" si="4"/>
        <v>0</v>
      </c>
      <c r="P26" s="17">
        <f t="shared" si="5"/>
        <v>0</v>
      </c>
      <c r="Q26" s="4" t="b">
        <f t="shared" si="6"/>
        <v>0</v>
      </c>
      <c r="R26" s="4" t="b">
        <f t="shared" si="7"/>
        <v>0</v>
      </c>
    </row>
    <row r="27" spans="2:18" x14ac:dyDescent="0.25">
      <c r="B27" s="15" t="s">
        <v>48</v>
      </c>
      <c r="C27" s="15" t="s">
        <v>49</v>
      </c>
      <c r="D27" s="15" t="s">
        <v>385</v>
      </c>
      <c r="E27" s="4" t="str">
        <f t="shared" si="0"/>
        <v>107</v>
      </c>
      <c r="F27" s="4" t="str">
        <f t="shared" si="1"/>
        <v>85</v>
      </c>
      <c r="G27" s="4" t="str">
        <f t="shared" si="2"/>
        <v>27044</v>
      </c>
      <c r="H27" s="16">
        <f>IFERROR(VLOOKUP($B27,'SAP 금액'!$A:$C,2,0),0)</f>
        <v>380545455</v>
      </c>
      <c r="I27" s="16">
        <f>IFERROR(VLOOKUP($B27,'SAP 금액'!$A:$C,3,0),0)</f>
        <v>38054545</v>
      </c>
      <c r="J27" s="16">
        <f>IFERROR(VLOOKUP(B27,'SAP 금액'!E:F,2,0),0)</f>
        <v>0</v>
      </c>
      <c r="K27" s="16">
        <f>VLOOKUP($B27,'국세청 금액'!$A:$C,2,0)</f>
        <v>380545455</v>
      </c>
      <c r="L27" s="16">
        <f>VLOOKUP($B27,'국세청 금액'!$A:$C,3,0)</f>
        <v>38054545</v>
      </c>
      <c r="M27" s="16">
        <f>VLOOKUP(B27,'국세청 금액'!A:D,4,0)</f>
        <v>0</v>
      </c>
      <c r="N27" s="17">
        <f t="shared" si="3"/>
        <v>0</v>
      </c>
      <c r="O27" s="17">
        <f t="shared" si="4"/>
        <v>0</v>
      </c>
      <c r="P27" s="17">
        <f t="shared" si="5"/>
        <v>0</v>
      </c>
      <c r="Q27" s="4" t="b">
        <f t="shared" si="6"/>
        <v>0</v>
      </c>
      <c r="R27" s="4" t="b">
        <f t="shared" si="7"/>
        <v>0</v>
      </c>
    </row>
    <row r="28" spans="2:18" x14ac:dyDescent="0.25">
      <c r="B28" s="15" t="s">
        <v>50</v>
      </c>
      <c r="C28" s="15" t="s">
        <v>51</v>
      </c>
      <c r="D28" s="15" t="s">
        <v>386</v>
      </c>
      <c r="E28" s="4" t="str">
        <f t="shared" si="0"/>
        <v>105</v>
      </c>
      <c r="F28" s="4" t="str">
        <f t="shared" si="1"/>
        <v>85</v>
      </c>
      <c r="G28" s="4" t="str">
        <f t="shared" si="2"/>
        <v>32537</v>
      </c>
      <c r="H28" s="16">
        <f>IFERROR(VLOOKUP($B28,'SAP 금액'!$A:$C,2,0),0)</f>
        <v>33332206</v>
      </c>
      <c r="I28" s="16">
        <f>IFERROR(VLOOKUP($B28,'SAP 금액'!$A:$C,3,0),0)</f>
        <v>3333221</v>
      </c>
      <c r="J28" s="16">
        <f>IFERROR(VLOOKUP(B28,'SAP 금액'!E:F,2,0),0)</f>
        <v>337892</v>
      </c>
      <c r="K28" s="16">
        <f>VLOOKUP($B28,'국세청 금액'!$A:$C,2,0)</f>
        <v>33332206</v>
      </c>
      <c r="L28" s="16">
        <f>VLOOKUP($B28,'국세청 금액'!$A:$C,3,0)</f>
        <v>3333221</v>
      </c>
      <c r="M28" s="16">
        <f>VLOOKUP(B28,'국세청 금액'!A:D,4,0)</f>
        <v>337892</v>
      </c>
      <c r="N28" s="17">
        <f t="shared" si="3"/>
        <v>0</v>
      </c>
      <c r="O28" s="17">
        <f t="shared" si="4"/>
        <v>0</v>
      </c>
      <c r="P28" s="17">
        <f t="shared" si="5"/>
        <v>0</v>
      </c>
      <c r="Q28" s="4" t="b">
        <f t="shared" si="6"/>
        <v>0</v>
      </c>
      <c r="R28" s="4" t="b">
        <f t="shared" si="7"/>
        <v>0</v>
      </c>
    </row>
    <row r="29" spans="2:18" x14ac:dyDescent="0.25">
      <c r="B29" s="15" t="s">
        <v>52</v>
      </c>
      <c r="C29" s="15" t="s">
        <v>53</v>
      </c>
      <c r="D29" s="15" t="s">
        <v>387</v>
      </c>
      <c r="E29" s="4" t="str">
        <f t="shared" si="0"/>
        <v>504</v>
      </c>
      <c r="F29" s="4" t="str">
        <f t="shared" si="1"/>
        <v>85</v>
      </c>
      <c r="G29" s="4" t="str">
        <f t="shared" si="2"/>
        <v>36026</v>
      </c>
      <c r="H29" s="16">
        <f>IFERROR(VLOOKUP($B29,'SAP 금액'!$A:$C,2,0),0)</f>
        <v>72092543</v>
      </c>
      <c r="I29" s="16">
        <f>IFERROR(VLOOKUP($B29,'SAP 금액'!$A:$C,3,0),0)</f>
        <v>7209254</v>
      </c>
      <c r="J29" s="16">
        <f>IFERROR(VLOOKUP(B29,'SAP 금액'!E:F,2,0),0)</f>
        <v>263000</v>
      </c>
      <c r="K29" s="16">
        <f>VLOOKUP($B29,'국세청 금액'!$A:$C,2,0)</f>
        <v>72092543</v>
      </c>
      <c r="L29" s="16">
        <f>VLOOKUP($B29,'국세청 금액'!$A:$C,3,0)</f>
        <v>7209254</v>
      </c>
      <c r="M29" s="16">
        <f>VLOOKUP(B29,'국세청 금액'!A:D,4,0)</f>
        <v>263000</v>
      </c>
      <c r="N29" s="17">
        <f t="shared" si="3"/>
        <v>0</v>
      </c>
      <c r="O29" s="17">
        <f t="shared" si="4"/>
        <v>0</v>
      </c>
      <c r="P29" s="17">
        <f t="shared" si="5"/>
        <v>0</v>
      </c>
      <c r="Q29" s="4" t="b">
        <f t="shared" si="6"/>
        <v>0</v>
      </c>
      <c r="R29" s="4" t="b">
        <f t="shared" si="7"/>
        <v>0</v>
      </c>
    </row>
    <row r="30" spans="2:18" x14ac:dyDescent="0.25">
      <c r="B30" s="15" t="s">
        <v>54</v>
      </c>
      <c r="C30" s="15" t="s">
        <v>55</v>
      </c>
      <c r="D30" s="15" t="s">
        <v>388</v>
      </c>
      <c r="E30" s="4" t="str">
        <f t="shared" si="0"/>
        <v>109</v>
      </c>
      <c r="F30" s="4" t="str">
        <f t="shared" si="1"/>
        <v>85</v>
      </c>
      <c r="G30" s="4" t="str">
        <f t="shared" si="2"/>
        <v>37534</v>
      </c>
      <c r="H30" s="16">
        <f>IFERROR(VLOOKUP($B30,'SAP 금액'!$A:$C,2,0),0)</f>
        <v>61720120</v>
      </c>
      <c r="I30" s="16">
        <f>IFERROR(VLOOKUP($B30,'SAP 금액'!$A:$C,3,0),0)</f>
        <v>6172012</v>
      </c>
      <c r="J30" s="16">
        <f>IFERROR(VLOOKUP(B30,'SAP 금액'!E:F,2,0),0)</f>
        <v>18438</v>
      </c>
      <c r="K30" s="16">
        <f>VLOOKUP($B30,'국세청 금액'!$A:$C,2,0)</f>
        <v>61720120</v>
      </c>
      <c r="L30" s="16">
        <f>VLOOKUP($B30,'국세청 금액'!$A:$C,3,0)</f>
        <v>6172012</v>
      </c>
      <c r="M30" s="16">
        <f>VLOOKUP(B30,'국세청 금액'!A:D,4,0)</f>
        <v>18438</v>
      </c>
      <c r="N30" s="17">
        <f t="shared" si="3"/>
        <v>0</v>
      </c>
      <c r="O30" s="17">
        <f t="shared" si="4"/>
        <v>0</v>
      </c>
      <c r="P30" s="17">
        <f t="shared" si="5"/>
        <v>0</v>
      </c>
      <c r="Q30" s="4" t="b">
        <f t="shared" si="6"/>
        <v>0</v>
      </c>
      <c r="R30" s="4" t="b">
        <f t="shared" si="7"/>
        <v>0</v>
      </c>
    </row>
    <row r="31" spans="2:18" x14ac:dyDescent="0.25">
      <c r="B31" s="15" t="s">
        <v>56</v>
      </c>
      <c r="C31" s="15" t="s">
        <v>57</v>
      </c>
      <c r="D31" s="15" t="s">
        <v>389</v>
      </c>
      <c r="E31" s="4" t="str">
        <f t="shared" si="0"/>
        <v>220</v>
      </c>
      <c r="F31" s="4" t="str">
        <f t="shared" si="1"/>
        <v>85</v>
      </c>
      <c r="G31" s="4" t="str">
        <f t="shared" si="2"/>
        <v>36564</v>
      </c>
      <c r="H31" s="16">
        <f>IFERROR(VLOOKUP($B31,'SAP 금액'!$A:$C,2,0),0)</f>
        <v>36493023</v>
      </c>
      <c r="I31" s="16">
        <f>IFERROR(VLOOKUP($B31,'SAP 금액'!$A:$C,3,0),0)</f>
        <v>3649302</v>
      </c>
      <c r="J31" s="16">
        <f>IFERROR(VLOOKUP(B31,'SAP 금액'!E:F,2,0),0)</f>
        <v>0</v>
      </c>
      <c r="K31" s="16">
        <f>VLOOKUP($B31,'국세청 금액'!$A:$C,2,0)</f>
        <v>36493023</v>
      </c>
      <c r="L31" s="16">
        <f>VLOOKUP($B31,'국세청 금액'!$A:$C,3,0)</f>
        <v>3649302</v>
      </c>
      <c r="M31" s="16">
        <f>VLOOKUP(B31,'국세청 금액'!A:D,4,0)</f>
        <v>0</v>
      </c>
      <c r="N31" s="17">
        <f t="shared" si="3"/>
        <v>0</v>
      </c>
      <c r="O31" s="17">
        <f t="shared" si="4"/>
        <v>0</v>
      </c>
      <c r="P31" s="17">
        <f t="shared" si="5"/>
        <v>0</v>
      </c>
      <c r="Q31" s="4" t="b">
        <f t="shared" si="6"/>
        <v>0</v>
      </c>
      <c r="R31" s="4" t="b">
        <f t="shared" si="7"/>
        <v>0</v>
      </c>
    </row>
    <row r="32" spans="2:18" x14ac:dyDescent="0.25">
      <c r="B32" s="15" t="s">
        <v>58</v>
      </c>
      <c r="C32" s="15" t="s">
        <v>59</v>
      </c>
      <c r="D32" s="15" t="s">
        <v>390</v>
      </c>
      <c r="E32" s="4" t="str">
        <f t="shared" si="0"/>
        <v>201</v>
      </c>
      <c r="F32" s="4" t="str">
        <f t="shared" si="1"/>
        <v>85</v>
      </c>
      <c r="G32" s="4" t="str">
        <f t="shared" si="2"/>
        <v>28307</v>
      </c>
      <c r="H32" s="16">
        <f>IFERROR(VLOOKUP($B32,'SAP 금액'!$A:$C,2,0),0)</f>
        <v>204020539</v>
      </c>
      <c r="I32" s="16">
        <f>IFERROR(VLOOKUP($B32,'SAP 금액'!$A:$C,3,0),0)</f>
        <v>20402056</v>
      </c>
      <c r="J32" s="16">
        <f>IFERROR(VLOOKUP(B32,'SAP 금액'!E:F,2,0),0)</f>
        <v>0</v>
      </c>
      <c r="K32" s="16">
        <f>VLOOKUP($B32,'국세청 금액'!$A:$C,2,0)</f>
        <v>204020539</v>
      </c>
      <c r="L32" s="16">
        <f>VLOOKUP($B32,'국세청 금액'!$A:$C,3,0)</f>
        <v>20402056</v>
      </c>
      <c r="M32" s="16">
        <f>VLOOKUP(B32,'국세청 금액'!A:D,4,0)</f>
        <v>0</v>
      </c>
      <c r="N32" s="17">
        <f t="shared" si="3"/>
        <v>0</v>
      </c>
      <c r="O32" s="17">
        <f t="shared" si="4"/>
        <v>0</v>
      </c>
      <c r="P32" s="17">
        <f t="shared" si="5"/>
        <v>0</v>
      </c>
      <c r="Q32" s="4" t="b">
        <f t="shared" si="6"/>
        <v>0</v>
      </c>
      <c r="R32" s="4" t="b">
        <f t="shared" si="7"/>
        <v>0</v>
      </c>
    </row>
    <row r="33" spans="2:18" x14ac:dyDescent="0.25">
      <c r="B33" s="15" t="s">
        <v>60</v>
      </c>
      <c r="C33" s="15" t="s">
        <v>61</v>
      </c>
      <c r="D33" s="15" t="s">
        <v>391</v>
      </c>
      <c r="E33" s="4" t="str">
        <f t="shared" si="0"/>
        <v>410</v>
      </c>
      <c r="F33" s="4" t="str">
        <f t="shared" si="1"/>
        <v>85</v>
      </c>
      <c r="G33" s="4" t="str">
        <f t="shared" si="2"/>
        <v>41374</v>
      </c>
      <c r="H33" s="16">
        <f>IFERROR(VLOOKUP($B33,'SAP 금액'!$A:$C,2,0),0)</f>
        <v>70797053</v>
      </c>
      <c r="I33" s="16">
        <f>IFERROR(VLOOKUP($B33,'SAP 금액'!$A:$C,3,0),0)</f>
        <v>7079706</v>
      </c>
      <c r="J33" s="16">
        <f>IFERROR(VLOOKUP(B33,'SAP 금액'!E:F,2,0),0)</f>
        <v>4181</v>
      </c>
      <c r="K33" s="16">
        <f>VLOOKUP($B33,'국세청 금액'!$A:$C,2,0)</f>
        <v>70797053</v>
      </c>
      <c r="L33" s="16">
        <f>VLOOKUP($B33,'국세청 금액'!$A:$C,3,0)</f>
        <v>7079706</v>
      </c>
      <c r="M33" s="16">
        <f>VLOOKUP(B33,'국세청 금액'!A:D,4,0)</f>
        <v>4181</v>
      </c>
      <c r="N33" s="17">
        <f t="shared" si="3"/>
        <v>0</v>
      </c>
      <c r="O33" s="17">
        <f t="shared" si="4"/>
        <v>0</v>
      </c>
      <c r="P33" s="17">
        <f t="shared" si="5"/>
        <v>0</v>
      </c>
      <c r="Q33" s="4" t="b">
        <f t="shared" si="6"/>
        <v>0</v>
      </c>
      <c r="R33" s="4" t="b">
        <f t="shared" si="7"/>
        <v>0</v>
      </c>
    </row>
    <row r="34" spans="2:18" x14ac:dyDescent="0.25">
      <c r="B34" s="15" t="s">
        <v>62</v>
      </c>
      <c r="C34" s="15" t="s">
        <v>63</v>
      </c>
      <c r="D34" s="15" t="s">
        <v>392</v>
      </c>
      <c r="E34" s="4" t="str">
        <f t="shared" si="0"/>
        <v>201</v>
      </c>
      <c r="F34" s="4" t="str">
        <f t="shared" si="1"/>
        <v>85</v>
      </c>
      <c r="G34" s="4" t="str">
        <f t="shared" si="2"/>
        <v>28739</v>
      </c>
      <c r="H34" s="16">
        <f>IFERROR(VLOOKUP($B34,'SAP 금액'!$A:$C,2,0),0)</f>
        <v>70964411</v>
      </c>
      <c r="I34" s="16">
        <f>IFERROR(VLOOKUP($B34,'SAP 금액'!$A:$C,3,0),0)</f>
        <v>7096437</v>
      </c>
      <c r="J34" s="16">
        <f>IFERROR(VLOOKUP(B34,'SAP 금액'!E:F,2,0),0)</f>
        <v>72964</v>
      </c>
      <c r="K34" s="16">
        <f>VLOOKUP($B34,'국세청 금액'!$A:$C,2,0)</f>
        <v>70964411</v>
      </c>
      <c r="L34" s="16">
        <f>VLOOKUP($B34,'국세청 금액'!$A:$C,3,0)</f>
        <v>7096437</v>
      </c>
      <c r="M34" s="16">
        <f>VLOOKUP(B34,'국세청 금액'!A:D,4,0)</f>
        <v>72964</v>
      </c>
      <c r="N34" s="17">
        <f t="shared" si="3"/>
        <v>0</v>
      </c>
      <c r="O34" s="17">
        <f t="shared" si="4"/>
        <v>0</v>
      </c>
      <c r="P34" s="17">
        <f t="shared" si="5"/>
        <v>0</v>
      </c>
      <c r="Q34" s="4" t="b">
        <f t="shared" si="6"/>
        <v>0</v>
      </c>
      <c r="R34" s="4" t="b">
        <f t="shared" si="7"/>
        <v>0</v>
      </c>
    </row>
    <row r="35" spans="2:18" x14ac:dyDescent="0.25">
      <c r="B35" s="15" t="s">
        <v>64</v>
      </c>
      <c r="C35" s="15" t="s">
        <v>65</v>
      </c>
      <c r="D35" s="15" t="s">
        <v>393</v>
      </c>
      <c r="E35" s="4" t="str">
        <f t="shared" si="0"/>
        <v>209</v>
      </c>
      <c r="F35" s="4" t="str">
        <f t="shared" si="1"/>
        <v>85</v>
      </c>
      <c r="G35" s="4" t="str">
        <f t="shared" si="2"/>
        <v>20842</v>
      </c>
      <c r="H35" s="16">
        <f>IFERROR(VLOOKUP($B35,'SAP 금액'!$A:$C,2,0),0)</f>
        <v>152475553</v>
      </c>
      <c r="I35" s="16">
        <f>IFERROR(VLOOKUP($B35,'SAP 금액'!$A:$C,3,0),0)</f>
        <v>15247561</v>
      </c>
      <c r="J35" s="16">
        <f>IFERROR(VLOOKUP(B35,'SAP 금액'!E:F,2,0),0)</f>
        <v>0</v>
      </c>
      <c r="K35" s="16">
        <f>VLOOKUP($B35,'국세청 금액'!$A:$C,2,0)</f>
        <v>152475553</v>
      </c>
      <c r="L35" s="16">
        <f>VLOOKUP($B35,'국세청 금액'!$A:$C,3,0)</f>
        <v>15247561</v>
      </c>
      <c r="M35" s="16">
        <f>VLOOKUP(B35,'국세청 금액'!A:D,4,0)</f>
        <v>0</v>
      </c>
      <c r="N35" s="17">
        <f t="shared" si="3"/>
        <v>0</v>
      </c>
      <c r="O35" s="17">
        <f t="shared" si="4"/>
        <v>0</v>
      </c>
      <c r="P35" s="17">
        <f t="shared" si="5"/>
        <v>0</v>
      </c>
      <c r="Q35" s="4" t="b">
        <f t="shared" si="6"/>
        <v>0</v>
      </c>
      <c r="R35" s="4" t="b">
        <f t="shared" si="7"/>
        <v>0</v>
      </c>
    </row>
    <row r="36" spans="2:18" x14ac:dyDescent="0.25">
      <c r="B36" s="15" t="s">
        <v>66</v>
      </c>
      <c r="C36" s="15" t="s">
        <v>67</v>
      </c>
      <c r="D36" s="15" t="s">
        <v>394</v>
      </c>
      <c r="E36" s="4" t="str">
        <f t="shared" si="0"/>
        <v>408</v>
      </c>
      <c r="F36" s="4" t="str">
        <f t="shared" si="1"/>
        <v>85</v>
      </c>
      <c r="G36" s="4" t="str">
        <f t="shared" si="2"/>
        <v>28209</v>
      </c>
      <c r="H36" s="16">
        <f>IFERROR(VLOOKUP($B36,'SAP 금액'!$A:$C,2,0),0)</f>
        <v>36668460</v>
      </c>
      <c r="I36" s="16">
        <f>IFERROR(VLOOKUP($B36,'SAP 금액'!$A:$C,3,0),0)</f>
        <v>3666845</v>
      </c>
      <c r="J36" s="16">
        <f>IFERROR(VLOOKUP(B36,'SAP 금액'!E:F,2,0),0)</f>
        <v>0</v>
      </c>
      <c r="K36" s="16">
        <f>VLOOKUP($B36,'국세청 금액'!$A:$C,2,0)</f>
        <v>36668460</v>
      </c>
      <c r="L36" s="16">
        <f>VLOOKUP($B36,'국세청 금액'!$A:$C,3,0)</f>
        <v>3666845</v>
      </c>
      <c r="M36" s="16">
        <f>VLOOKUP(B36,'국세청 금액'!A:D,4,0)</f>
        <v>0</v>
      </c>
      <c r="N36" s="17">
        <f t="shared" si="3"/>
        <v>0</v>
      </c>
      <c r="O36" s="17">
        <f t="shared" si="4"/>
        <v>0</v>
      </c>
      <c r="P36" s="17">
        <f t="shared" si="5"/>
        <v>0</v>
      </c>
      <c r="Q36" s="4" t="b">
        <f t="shared" si="6"/>
        <v>0</v>
      </c>
      <c r="R36" s="4" t="b">
        <f t="shared" si="7"/>
        <v>0</v>
      </c>
    </row>
    <row r="37" spans="2:18" x14ac:dyDescent="0.25">
      <c r="B37" s="15" t="s">
        <v>68</v>
      </c>
      <c r="C37" s="15" t="s">
        <v>69</v>
      </c>
      <c r="D37" s="15" t="s">
        <v>395</v>
      </c>
      <c r="E37" s="4" t="str">
        <f t="shared" si="0"/>
        <v>504</v>
      </c>
      <c r="F37" s="4" t="str">
        <f t="shared" si="1"/>
        <v>85</v>
      </c>
      <c r="G37" s="4" t="str">
        <f t="shared" si="2"/>
        <v>37665</v>
      </c>
      <c r="H37" s="16">
        <f>IFERROR(VLOOKUP($B37,'SAP 금액'!$A:$C,2,0),0)</f>
        <v>83816687</v>
      </c>
      <c r="I37" s="16">
        <f>IFERROR(VLOOKUP($B37,'SAP 금액'!$A:$C,3,0),0)</f>
        <v>8381670</v>
      </c>
      <c r="J37" s="16">
        <f>IFERROR(VLOOKUP(B37,'SAP 금액'!E:F,2,0),0)</f>
        <v>0</v>
      </c>
      <c r="K37" s="16">
        <f>VLOOKUP($B37,'국세청 금액'!$A:$C,2,0)</f>
        <v>83816687</v>
      </c>
      <c r="L37" s="16">
        <f>VLOOKUP($B37,'국세청 금액'!$A:$C,3,0)</f>
        <v>8381670</v>
      </c>
      <c r="M37" s="16">
        <f>VLOOKUP(B37,'국세청 금액'!A:D,4,0)</f>
        <v>0</v>
      </c>
      <c r="N37" s="17">
        <f t="shared" si="3"/>
        <v>0</v>
      </c>
      <c r="O37" s="17">
        <f t="shared" si="4"/>
        <v>0</v>
      </c>
      <c r="P37" s="17">
        <f t="shared" si="5"/>
        <v>0</v>
      </c>
      <c r="Q37" s="4" t="b">
        <f t="shared" si="6"/>
        <v>0</v>
      </c>
      <c r="R37" s="4" t="b">
        <f t="shared" si="7"/>
        <v>0</v>
      </c>
    </row>
    <row r="38" spans="2:18" x14ac:dyDescent="0.25">
      <c r="B38" s="15" t="s">
        <v>70</v>
      </c>
      <c r="C38" s="15" t="s">
        <v>71</v>
      </c>
      <c r="D38" s="15" t="s">
        <v>396</v>
      </c>
      <c r="E38" s="4" t="str">
        <f t="shared" si="0"/>
        <v>131</v>
      </c>
      <c r="F38" s="4" t="str">
        <f t="shared" si="1"/>
        <v>85</v>
      </c>
      <c r="G38" s="4" t="str">
        <f t="shared" si="2"/>
        <v>46175</v>
      </c>
      <c r="H38" s="16">
        <f>IFERROR(VLOOKUP($B38,'SAP 금액'!$A:$C,2,0),0)</f>
        <v>439843</v>
      </c>
      <c r="I38" s="16">
        <f>IFERROR(VLOOKUP($B38,'SAP 금액'!$A:$C,3,0),0)</f>
        <v>43984</v>
      </c>
      <c r="J38" s="16">
        <f>IFERROR(VLOOKUP(B38,'SAP 금액'!E:F,2,0),0)</f>
        <v>0</v>
      </c>
      <c r="K38" s="16">
        <f>VLOOKUP($B38,'국세청 금액'!$A:$C,2,0)</f>
        <v>439843</v>
      </c>
      <c r="L38" s="16">
        <f>VLOOKUP($B38,'국세청 금액'!$A:$C,3,0)</f>
        <v>43984</v>
      </c>
      <c r="M38" s="16">
        <f>VLOOKUP(B38,'국세청 금액'!A:D,4,0)</f>
        <v>0</v>
      </c>
      <c r="N38" s="17">
        <f t="shared" si="3"/>
        <v>0</v>
      </c>
      <c r="O38" s="17">
        <f t="shared" si="4"/>
        <v>0</v>
      </c>
      <c r="P38" s="17">
        <f t="shared" si="5"/>
        <v>0</v>
      </c>
      <c r="Q38" s="4" t="b">
        <f t="shared" si="6"/>
        <v>0</v>
      </c>
      <c r="R38" s="4" t="b">
        <f t="shared" si="7"/>
        <v>0</v>
      </c>
    </row>
    <row r="39" spans="2:18" x14ac:dyDescent="0.25">
      <c r="B39" s="15" t="s">
        <v>72</v>
      </c>
      <c r="C39" s="15" t="s">
        <v>73</v>
      </c>
      <c r="D39" s="15" t="s">
        <v>397</v>
      </c>
      <c r="E39" s="4" t="str">
        <f t="shared" si="0"/>
        <v>317</v>
      </c>
      <c r="F39" s="4" t="str">
        <f t="shared" si="1"/>
        <v>85</v>
      </c>
      <c r="G39" s="4" t="str">
        <f t="shared" si="2"/>
        <v>12100</v>
      </c>
      <c r="H39" s="16">
        <f>IFERROR(VLOOKUP($B39,'SAP 금액'!$A:$C,2,0),0)</f>
        <v>0</v>
      </c>
      <c r="I39" s="16">
        <f>IFERROR(VLOOKUP($B39,'SAP 금액'!$A:$C,3,0),0)</f>
        <v>0</v>
      </c>
      <c r="J39" s="16">
        <f>IFERROR(VLOOKUP(B39,'SAP 금액'!E:F,2,0),0)</f>
        <v>0</v>
      </c>
      <c r="K39" s="16">
        <f>VLOOKUP($B39,'국세청 금액'!$A:$C,2,0)</f>
        <v>0</v>
      </c>
      <c r="L39" s="16">
        <f>VLOOKUP($B39,'국세청 금액'!$A:$C,3,0)</f>
        <v>0</v>
      </c>
      <c r="M39" s="16">
        <f>VLOOKUP(B39,'국세청 금액'!A:D,4,0)</f>
        <v>0</v>
      </c>
      <c r="N39" s="17">
        <f t="shared" si="3"/>
        <v>0</v>
      </c>
      <c r="O39" s="17">
        <f t="shared" si="4"/>
        <v>0</v>
      </c>
      <c r="P39" s="17">
        <f t="shared" si="5"/>
        <v>0</v>
      </c>
      <c r="Q39" s="4" t="b">
        <f t="shared" si="6"/>
        <v>0</v>
      </c>
      <c r="R39" s="4" t="b">
        <f t="shared" si="7"/>
        <v>0</v>
      </c>
    </row>
    <row r="40" spans="2:18" x14ac:dyDescent="0.25">
      <c r="B40" s="15" t="s">
        <v>74</v>
      </c>
      <c r="C40" s="15" t="s">
        <v>75</v>
      </c>
      <c r="D40" s="15" t="s">
        <v>398</v>
      </c>
      <c r="E40" s="4" t="str">
        <f t="shared" si="0"/>
        <v>301</v>
      </c>
      <c r="F40" s="4" t="str">
        <f t="shared" si="1"/>
        <v>85</v>
      </c>
      <c r="G40" s="4" t="str">
        <f t="shared" si="2"/>
        <v>41600</v>
      </c>
      <c r="H40" s="16">
        <f>IFERROR(VLOOKUP($B40,'SAP 금액'!$A:$C,2,0),0)</f>
        <v>44504700</v>
      </c>
      <c r="I40" s="16">
        <f>IFERROR(VLOOKUP($B40,'SAP 금액'!$A:$C,3,0),0)</f>
        <v>4450472</v>
      </c>
      <c r="J40" s="16">
        <f>IFERROR(VLOOKUP(B40,'SAP 금액'!E:F,2,0),0)</f>
        <v>6309</v>
      </c>
      <c r="K40" s="16">
        <f>VLOOKUP($B40,'국세청 금액'!$A:$C,2,0)</f>
        <v>44504700</v>
      </c>
      <c r="L40" s="16">
        <f>VLOOKUP($B40,'국세청 금액'!$A:$C,3,0)</f>
        <v>4450472</v>
      </c>
      <c r="M40" s="16">
        <f>VLOOKUP(B40,'국세청 금액'!A:D,4,0)</f>
        <v>6309</v>
      </c>
      <c r="N40" s="17">
        <f t="shared" si="3"/>
        <v>0</v>
      </c>
      <c r="O40" s="17">
        <f t="shared" si="4"/>
        <v>0</v>
      </c>
      <c r="P40" s="17">
        <f t="shared" si="5"/>
        <v>0</v>
      </c>
      <c r="Q40" s="4" t="b">
        <f t="shared" si="6"/>
        <v>0</v>
      </c>
      <c r="R40" s="4" t="b">
        <f t="shared" si="7"/>
        <v>0</v>
      </c>
    </row>
    <row r="41" spans="2:18" x14ac:dyDescent="0.25">
      <c r="B41" s="15" t="s">
        <v>76</v>
      </c>
      <c r="C41" s="15" t="s">
        <v>77</v>
      </c>
      <c r="D41" s="15" t="s">
        <v>399</v>
      </c>
      <c r="E41" s="4" t="str">
        <f t="shared" si="0"/>
        <v>104</v>
      </c>
      <c r="F41" s="4" t="str">
        <f t="shared" si="1"/>
        <v>85</v>
      </c>
      <c r="G41" s="4" t="str">
        <f t="shared" si="2"/>
        <v>26274</v>
      </c>
      <c r="H41" s="16">
        <f>IFERROR(VLOOKUP($B41,'SAP 금액'!$A:$C,2,0),0)</f>
        <v>16433756</v>
      </c>
      <c r="I41" s="16">
        <f>IFERROR(VLOOKUP($B41,'SAP 금액'!$A:$C,3,0),0)</f>
        <v>1643373</v>
      </c>
      <c r="J41" s="16">
        <f>IFERROR(VLOOKUP(B41,'SAP 금액'!E:F,2,0),0)</f>
        <v>104679</v>
      </c>
      <c r="K41" s="16">
        <f>VLOOKUP($B41,'국세청 금액'!$A:$C,2,0)</f>
        <v>16433756</v>
      </c>
      <c r="L41" s="16">
        <f>VLOOKUP($B41,'국세청 금액'!$A:$C,3,0)</f>
        <v>1643373</v>
      </c>
      <c r="M41" s="16">
        <f>VLOOKUP(B41,'국세청 금액'!A:D,4,0)</f>
        <v>104679</v>
      </c>
      <c r="N41" s="17">
        <f t="shared" si="3"/>
        <v>0</v>
      </c>
      <c r="O41" s="17">
        <f t="shared" si="4"/>
        <v>0</v>
      </c>
      <c r="P41" s="17">
        <f t="shared" si="5"/>
        <v>0</v>
      </c>
      <c r="Q41" s="4" t="b">
        <f t="shared" si="6"/>
        <v>0</v>
      </c>
      <c r="R41" s="4" t="b">
        <f t="shared" si="7"/>
        <v>0</v>
      </c>
    </row>
    <row r="42" spans="2:18" x14ac:dyDescent="0.25">
      <c r="B42" s="15" t="s">
        <v>78</v>
      </c>
      <c r="C42" s="15" t="s">
        <v>79</v>
      </c>
      <c r="D42" s="15" t="s">
        <v>400</v>
      </c>
      <c r="E42" s="4" t="str">
        <f t="shared" si="0"/>
        <v>312</v>
      </c>
      <c r="F42" s="4" t="str">
        <f t="shared" si="1"/>
        <v>85</v>
      </c>
      <c r="G42" s="4" t="str">
        <f t="shared" si="2"/>
        <v>57868</v>
      </c>
      <c r="H42" s="16">
        <f>IFERROR(VLOOKUP($B42,'SAP 금액'!$A:$C,2,0),0)</f>
        <v>5910353</v>
      </c>
      <c r="I42" s="16">
        <f>IFERROR(VLOOKUP($B42,'SAP 금액'!$A:$C,3,0),0)</f>
        <v>591035</v>
      </c>
      <c r="J42" s="16">
        <f>IFERROR(VLOOKUP(B42,'SAP 금액'!E:F,2,0),0)</f>
        <v>0</v>
      </c>
      <c r="K42" s="16">
        <f>VLOOKUP($B42,'국세청 금액'!$A:$C,2,0)</f>
        <v>5910353</v>
      </c>
      <c r="L42" s="16">
        <f>VLOOKUP($B42,'국세청 금액'!$A:$C,3,0)</f>
        <v>591035</v>
      </c>
      <c r="M42" s="16">
        <f>VLOOKUP(B42,'국세청 금액'!A:D,4,0)</f>
        <v>0</v>
      </c>
      <c r="N42" s="17">
        <f t="shared" si="3"/>
        <v>0</v>
      </c>
      <c r="O42" s="17">
        <f t="shared" si="4"/>
        <v>0</v>
      </c>
      <c r="P42" s="17">
        <f t="shared" si="5"/>
        <v>0</v>
      </c>
      <c r="Q42" s="4" t="b">
        <f t="shared" si="6"/>
        <v>0</v>
      </c>
      <c r="R42" s="4" t="b">
        <f t="shared" si="7"/>
        <v>0</v>
      </c>
    </row>
    <row r="43" spans="2:18" x14ac:dyDescent="0.25">
      <c r="B43" s="15" t="s">
        <v>80</v>
      </c>
      <c r="C43" s="15" t="s">
        <v>81</v>
      </c>
      <c r="D43" s="15" t="s">
        <v>401</v>
      </c>
      <c r="E43" s="4" t="str">
        <f t="shared" si="0"/>
        <v>214</v>
      </c>
      <c r="F43" s="4" t="str">
        <f t="shared" si="1"/>
        <v>85</v>
      </c>
      <c r="G43" s="4" t="str">
        <f t="shared" si="2"/>
        <v>50334</v>
      </c>
      <c r="H43" s="16">
        <f>IFERROR(VLOOKUP($B43,'SAP 금액'!$A:$C,2,0),0)</f>
        <v>184917964</v>
      </c>
      <c r="I43" s="16">
        <f>IFERROR(VLOOKUP($B43,'SAP 금액'!$A:$C,3,0),0)</f>
        <v>18491794</v>
      </c>
      <c r="J43" s="16">
        <f>IFERROR(VLOOKUP(B43,'SAP 금액'!E:F,2,0),0)</f>
        <v>1290900</v>
      </c>
      <c r="K43" s="16">
        <f>VLOOKUP($B43,'국세청 금액'!$A:$C,2,0)</f>
        <v>184917964</v>
      </c>
      <c r="L43" s="16">
        <f>VLOOKUP($B43,'국세청 금액'!$A:$C,3,0)</f>
        <v>18491794</v>
      </c>
      <c r="M43" s="16">
        <f>VLOOKUP(B43,'국세청 금액'!A:D,4,0)</f>
        <v>1290900</v>
      </c>
      <c r="N43" s="17">
        <f t="shared" si="3"/>
        <v>0</v>
      </c>
      <c r="O43" s="17">
        <f t="shared" si="4"/>
        <v>0</v>
      </c>
      <c r="P43" s="17">
        <f t="shared" si="5"/>
        <v>0</v>
      </c>
      <c r="Q43" s="4" t="b">
        <f t="shared" si="6"/>
        <v>0</v>
      </c>
      <c r="R43" s="4" t="b">
        <f t="shared" si="7"/>
        <v>0</v>
      </c>
    </row>
    <row r="44" spans="2:18" x14ac:dyDescent="0.25">
      <c r="B44" s="15" t="s">
        <v>82</v>
      </c>
      <c r="C44" s="15" t="s">
        <v>83</v>
      </c>
      <c r="D44" s="15" t="s">
        <v>402</v>
      </c>
      <c r="E44" s="4" t="str">
        <f t="shared" si="0"/>
        <v>609</v>
      </c>
      <c r="F44" s="4" t="str">
        <f t="shared" si="1"/>
        <v>85</v>
      </c>
      <c r="G44" s="4" t="str">
        <f t="shared" si="2"/>
        <v>40368</v>
      </c>
      <c r="H44" s="16">
        <f>IFERROR(VLOOKUP($B44,'SAP 금액'!$A:$C,2,0),0)</f>
        <v>15424176</v>
      </c>
      <c r="I44" s="16">
        <f>IFERROR(VLOOKUP($B44,'SAP 금액'!$A:$C,3,0),0)</f>
        <v>1542418</v>
      </c>
      <c r="J44" s="16">
        <f>IFERROR(VLOOKUP(B44,'SAP 금액'!E:F,2,0),0)</f>
        <v>0</v>
      </c>
      <c r="K44" s="16">
        <f>VLOOKUP($B44,'국세청 금액'!$A:$C,2,0)</f>
        <v>15424176</v>
      </c>
      <c r="L44" s="16">
        <f>VLOOKUP($B44,'국세청 금액'!$A:$C,3,0)</f>
        <v>1542418</v>
      </c>
      <c r="M44" s="16">
        <f>VLOOKUP(B44,'국세청 금액'!A:D,4,0)</f>
        <v>0</v>
      </c>
      <c r="N44" s="17">
        <f t="shared" si="3"/>
        <v>0</v>
      </c>
      <c r="O44" s="17">
        <f t="shared" si="4"/>
        <v>0</v>
      </c>
      <c r="P44" s="17">
        <f t="shared" si="5"/>
        <v>0</v>
      </c>
      <c r="Q44" s="4" t="b">
        <f t="shared" si="6"/>
        <v>0</v>
      </c>
      <c r="R44" s="4" t="b">
        <f t="shared" si="7"/>
        <v>0</v>
      </c>
    </row>
    <row r="45" spans="2:18" x14ac:dyDescent="0.25">
      <c r="B45" s="15" t="s">
        <v>84</v>
      </c>
      <c r="C45" s="15" t="s">
        <v>85</v>
      </c>
      <c r="D45" s="15" t="s">
        <v>403</v>
      </c>
      <c r="E45" s="4" t="str">
        <f t="shared" si="0"/>
        <v>602</v>
      </c>
      <c r="F45" s="4" t="str">
        <f t="shared" si="1"/>
        <v>85</v>
      </c>
      <c r="G45" s="4" t="str">
        <f t="shared" si="2"/>
        <v>20003</v>
      </c>
      <c r="H45" s="16">
        <f>IFERROR(VLOOKUP($B45,'SAP 금액'!$A:$C,2,0),0)</f>
        <v>47194023</v>
      </c>
      <c r="I45" s="16">
        <f>IFERROR(VLOOKUP($B45,'SAP 금액'!$A:$C,3,0),0)</f>
        <v>4719400</v>
      </c>
      <c r="J45" s="16">
        <f>IFERROR(VLOOKUP(B45,'SAP 금액'!E:F,2,0),0)</f>
        <v>0</v>
      </c>
      <c r="K45" s="16">
        <f>VLOOKUP($B45,'국세청 금액'!$A:$C,2,0)</f>
        <v>47194023</v>
      </c>
      <c r="L45" s="16">
        <f>VLOOKUP($B45,'국세청 금액'!$A:$C,3,0)</f>
        <v>4719400</v>
      </c>
      <c r="M45" s="16">
        <f>VLOOKUP(B45,'국세청 금액'!A:D,4,0)</f>
        <v>0</v>
      </c>
      <c r="N45" s="17">
        <f t="shared" si="3"/>
        <v>0</v>
      </c>
      <c r="O45" s="17">
        <f t="shared" si="4"/>
        <v>0</v>
      </c>
      <c r="P45" s="17">
        <f t="shared" si="5"/>
        <v>0</v>
      </c>
      <c r="Q45" s="4" t="b">
        <f t="shared" si="6"/>
        <v>0</v>
      </c>
      <c r="R45" s="4" t="b">
        <f t="shared" si="7"/>
        <v>0</v>
      </c>
    </row>
    <row r="46" spans="2:18" x14ac:dyDescent="0.25">
      <c r="B46" s="15" t="s">
        <v>86</v>
      </c>
      <c r="C46" s="15" t="s">
        <v>87</v>
      </c>
      <c r="D46" s="15" t="s">
        <v>404</v>
      </c>
      <c r="E46" s="4" t="str">
        <f t="shared" si="0"/>
        <v>610</v>
      </c>
      <c r="F46" s="4" t="str">
        <f t="shared" si="1"/>
        <v>85</v>
      </c>
      <c r="G46" s="4" t="str">
        <f t="shared" si="2"/>
        <v>45475</v>
      </c>
      <c r="H46" s="16">
        <f>IFERROR(VLOOKUP($B46,'SAP 금액'!$A:$C,2,0),0)</f>
        <v>84010540</v>
      </c>
      <c r="I46" s="16">
        <f>IFERROR(VLOOKUP($B46,'SAP 금액'!$A:$C,3,0),0)</f>
        <v>8401048</v>
      </c>
      <c r="J46" s="16">
        <f>IFERROR(VLOOKUP(B46,'SAP 금액'!E:F,2,0),0)</f>
        <v>44295</v>
      </c>
      <c r="K46" s="16">
        <f>VLOOKUP($B46,'국세청 금액'!$A:$C,2,0)</f>
        <v>84010540</v>
      </c>
      <c r="L46" s="16">
        <f>VLOOKUP($B46,'국세청 금액'!$A:$C,3,0)</f>
        <v>8401048</v>
      </c>
      <c r="M46" s="16">
        <f>VLOOKUP(B46,'국세청 금액'!A:D,4,0)</f>
        <v>44295</v>
      </c>
      <c r="N46" s="17">
        <f t="shared" si="3"/>
        <v>0</v>
      </c>
      <c r="O46" s="17">
        <f t="shared" si="4"/>
        <v>0</v>
      </c>
      <c r="P46" s="17">
        <f t="shared" si="5"/>
        <v>0</v>
      </c>
      <c r="Q46" s="4" t="b">
        <f t="shared" si="6"/>
        <v>0</v>
      </c>
      <c r="R46" s="4" t="b">
        <f t="shared" si="7"/>
        <v>0</v>
      </c>
    </row>
    <row r="47" spans="2:18" x14ac:dyDescent="0.25">
      <c r="B47" s="15" t="s">
        <v>88</v>
      </c>
      <c r="C47" s="15" t="s">
        <v>89</v>
      </c>
      <c r="D47" s="15" t="s">
        <v>405</v>
      </c>
      <c r="E47" s="4" t="str">
        <f t="shared" si="0"/>
        <v>215</v>
      </c>
      <c r="F47" s="4" t="str">
        <f t="shared" si="1"/>
        <v>85</v>
      </c>
      <c r="G47" s="4" t="str">
        <f t="shared" si="2"/>
        <v>44801</v>
      </c>
      <c r="H47" s="16">
        <f>IFERROR(VLOOKUP($B47,'SAP 금액'!$A:$C,2,0),0)</f>
        <v>19351389</v>
      </c>
      <c r="I47" s="16">
        <f>IFERROR(VLOOKUP($B47,'SAP 금액'!$A:$C,3,0),0)</f>
        <v>1935138</v>
      </c>
      <c r="J47" s="16">
        <f>IFERROR(VLOOKUP(B47,'SAP 금액'!E:F,2,0),0)</f>
        <v>0</v>
      </c>
      <c r="K47" s="16">
        <f>VLOOKUP($B47,'국세청 금액'!$A:$C,2,0)</f>
        <v>19351389</v>
      </c>
      <c r="L47" s="16">
        <f>VLOOKUP($B47,'국세청 금액'!$A:$C,3,0)</f>
        <v>1935138</v>
      </c>
      <c r="M47" s="16">
        <f>VLOOKUP(B47,'국세청 금액'!A:D,4,0)</f>
        <v>0</v>
      </c>
      <c r="N47" s="17">
        <f t="shared" si="3"/>
        <v>0</v>
      </c>
      <c r="O47" s="17">
        <f t="shared" si="4"/>
        <v>0</v>
      </c>
      <c r="P47" s="17">
        <f t="shared" si="5"/>
        <v>0</v>
      </c>
      <c r="Q47" s="4" t="b">
        <f t="shared" si="6"/>
        <v>0</v>
      </c>
      <c r="R47" s="4" t="b">
        <f t="shared" si="7"/>
        <v>0</v>
      </c>
    </row>
    <row r="48" spans="2:18" x14ac:dyDescent="0.25">
      <c r="B48" s="15" t="s">
        <v>90</v>
      </c>
      <c r="C48" s="15" t="s">
        <v>91</v>
      </c>
      <c r="D48" s="15" t="s">
        <v>406</v>
      </c>
      <c r="E48" s="4" t="str">
        <f t="shared" si="0"/>
        <v>224</v>
      </c>
      <c r="F48" s="4" t="str">
        <f t="shared" si="1"/>
        <v>85</v>
      </c>
      <c r="G48" s="4" t="str">
        <f t="shared" si="2"/>
        <v>25507</v>
      </c>
      <c r="H48" s="16">
        <f>IFERROR(VLOOKUP($B48,'SAP 금액'!$A:$C,2,0),0)</f>
        <v>10900704</v>
      </c>
      <c r="I48" s="16">
        <f>IFERROR(VLOOKUP($B48,'SAP 금액'!$A:$C,3,0),0)</f>
        <v>1090070</v>
      </c>
      <c r="J48" s="16">
        <f>IFERROR(VLOOKUP(B48,'SAP 금액'!E:F,2,0),0)</f>
        <v>0</v>
      </c>
      <c r="K48" s="16">
        <f>VLOOKUP($B48,'국세청 금액'!$A:$C,2,0)</f>
        <v>10900704</v>
      </c>
      <c r="L48" s="16">
        <f>VLOOKUP($B48,'국세청 금액'!$A:$C,3,0)</f>
        <v>1090070</v>
      </c>
      <c r="M48" s="16">
        <f>VLOOKUP(B48,'국세청 금액'!A:D,4,0)</f>
        <v>0</v>
      </c>
      <c r="N48" s="17">
        <f t="shared" si="3"/>
        <v>0</v>
      </c>
      <c r="O48" s="17">
        <f t="shared" si="4"/>
        <v>0</v>
      </c>
      <c r="P48" s="17">
        <f t="shared" si="5"/>
        <v>0</v>
      </c>
      <c r="Q48" s="4" t="b">
        <f t="shared" si="6"/>
        <v>0</v>
      </c>
      <c r="R48" s="4" t="b">
        <f t="shared" si="7"/>
        <v>0</v>
      </c>
    </row>
    <row r="49" spans="2:18" x14ac:dyDescent="0.25">
      <c r="B49" s="15" t="s">
        <v>92</v>
      </c>
      <c r="C49" s="15" t="s">
        <v>93</v>
      </c>
      <c r="D49" s="15" t="s">
        <v>407</v>
      </c>
      <c r="E49" s="4" t="str">
        <f t="shared" si="0"/>
        <v>201</v>
      </c>
      <c r="F49" s="4" t="str">
        <f t="shared" si="1"/>
        <v>85</v>
      </c>
      <c r="G49" s="4" t="str">
        <f t="shared" si="2"/>
        <v>36471</v>
      </c>
      <c r="H49" s="16">
        <f>IFERROR(VLOOKUP($B49,'SAP 금액'!$A:$C,2,0),0)</f>
        <v>0</v>
      </c>
      <c r="I49" s="16">
        <f>IFERROR(VLOOKUP($B49,'SAP 금액'!$A:$C,3,0),0)</f>
        <v>0</v>
      </c>
      <c r="J49" s="16">
        <f>IFERROR(VLOOKUP(B49,'SAP 금액'!E:F,2,0),0)</f>
        <v>0</v>
      </c>
      <c r="K49" s="16">
        <f>VLOOKUP($B49,'국세청 금액'!$A:$C,2,0)</f>
        <v>0</v>
      </c>
      <c r="L49" s="16">
        <f>VLOOKUP($B49,'국세청 금액'!$A:$C,3,0)</f>
        <v>0</v>
      </c>
      <c r="M49" s="16">
        <f>VLOOKUP(B49,'국세청 금액'!A:D,4,0)</f>
        <v>0</v>
      </c>
      <c r="N49" s="17">
        <f t="shared" si="3"/>
        <v>0</v>
      </c>
      <c r="O49" s="17">
        <f t="shared" si="4"/>
        <v>0</v>
      </c>
      <c r="P49" s="17">
        <f t="shared" si="5"/>
        <v>0</v>
      </c>
      <c r="Q49" s="4" t="b">
        <f t="shared" si="6"/>
        <v>0</v>
      </c>
      <c r="R49" s="4" t="b">
        <f t="shared" si="7"/>
        <v>0</v>
      </c>
    </row>
    <row r="50" spans="2:18" x14ac:dyDescent="0.25">
      <c r="B50" s="15" t="s">
        <v>94</v>
      </c>
      <c r="C50" s="15" t="s">
        <v>95</v>
      </c>
      <c r="D50" s="15" t="s">
        <v>408</v>
      </c>
      <c r="E50" s="4" t="str">
        <f t="shared" si="0"/>
        <v>506</v>
      </c>
      <c r="F50" s="4" t="str">
        <f t="shared" si="1"/>
        <v>85</v>
      </c>
      <c r="G50" s="4" t="str">
        <f t="shared" si="2"/>
        <v>26747</v>
      </c>
      <c r="H50" s="16">
        <f>IFERROR(VLOOKUP($B50,'SAP 금액'!$A:$C,2,0),0)</f>
        <v>14426909</v>
      </c>
      <c r="I50" s="16">
        <f>IFERROR(VLOOKUP($B50,'SAP 금액'!$A:$C,3,0),0)</f>
        <v>1442691</v>
      </c>
      <c r="J50" s="16">
        <f>IFERROR(VLOOKUP(B50,'SAP 금액'!E:F,2,0),0)</f>
        <v>0</v>
      </c>
      <c r="K50" s="16">
        <f>VLOOKUP($B50,'국세청 금액'!$A:$C,2,0)</f>
        <v>14426909</v>
      </c>
      <c r="L50" s="16">
        <f>VLOOKUP($B50,'국세청 금액'!$A:$C,3,0)</f>
        <v>1442691</v>
      </c>
      <c r="M50" s="16">
        <f>VLOOKUP(B50,'국세청 금액'!A:D,4,0)</f>
        <v>0</v>
      </c>
      <c r="N50" s="17">
        <f t="shared" si="3"/>
        <v>0</v>
      </c>
      <c r="O50" s="17">
        <f t="shared" si="4"/>
        <v>0</v>
      </c>
      <c r="P50" s="17">
        <f t="shared" si="5"/>
        <v>0</v>
      </c>
      <c r="Q50" s="4" t="b">
        <f t="shared" si="6"/>
        <v>0</v>
      </c>
      <c r="R50" s="4" t="b">
        <f t="shared" si="7"/>
        <v>0</v>
      </c>
    </row>
    <row r="51" spans="2:18" x14ac:dyDescent="0.25">
      <c r="B51" s="15" t="s">
        <v>96</v>
      </c>
      <c r="C51" s="15" t="s">
        <v>97</v>
      </c>
      <c r="D51" s="15" t="s">
        <v>409</v>
      </c>
      <c r="E51" s="4" t="str">
        <f t="shared" si="0"/>
        <v>615</v>
      </c>
      <c r="F51" s="4" t="str">
        <f t="shared" si="1"/>
        <v>85</v>
      </c>
      <c r="G51" s="4" t="str">
        <f t="shared" si="2"/>
        <v>31409</v>
      </c>
      <c r="H51" s="16">
        <f>IFERROR(VLOOKUP($B51,'SAP 금액'!$A:$C,2,0),0)</f>
        <v>22093547</v>
      </c>
      <c r="I51" s="16">
        <f>IFERROR(VLOOKUP($B51,'SAP 금액'!$A:$C,3,0),0)</f>
        <v>2209359</v>
      </c>
      <c r="J51" s="16">
        <f>IFERROR(VLOOKUP(B51,'SAP 금액'!E:F,2,0),0)</f>
        <v>1277539</v>
      </c>
      <c r="K51" s="16">
        <f>VLOOKUP($B51,'국세청 금액'!$A:$C,2,0)</f>
        <v>22093547</v>
      </c>
      <c r="L51" s="16">
        <f>VLOOKUP($B51,'국세청 금액'!$A:$C,3,0)</f>
        <v>2209359</v>
      </c>
      <c r="M51" s="16">
        <f>VLOOKUP(B51,'국세청 금액'!A:D,4,0)</f>
        <v>1277539</v>
      </c>
      <c r="N51" s="17">
        <f t="shared" si="3"/>
        <v>0</v>
      </c>
      <c r="O51" s="17">
        <f t="shared" si="4"/>
        <v>0</v>
      </c>
      <c r="P51" s="17">
        <f t="shared" si="5"/>
        <v>0</v>
      </c>
      <c r="Q51" s="4" t="b">
        <f t="shared" si="6"/>
        <v>0</v>
      </c>
      <c r="R51" s="4" t="b">
        <f t="shared" si="7"/>
        <v>0</v>
      </c>
    </row>
    <row r="52" spans="2:18" x14ac:dyDescent="0.25">
      <c r="B52" s="15" t="s">
        <v>98</v>
      </c>
      <c r="C52" s="15" t="s">
        <v>99</v>
      </c>
      <c r="D52" s="15" t="s">
        <v>410</v>
      </c>
      <c r="E52" s="4" t="str">
        <f t="shared" si="0"/>
        <v>621</v>
      </c>
      <c r="F52" s="4" t="str">
        <f t="shared" si="1"/>
        <v>85</v>
      </c>
      <c r="G52" s="4" t="str">
        <f t="shared" si="2"/>
        <v>35322</v>
      </c>
      <c r="H52" s="16">
        <f>IFERROR(VLOOKUP($B52,'SAP 금액'!$A:$C,2,0),0)</f>
        <v>68794311</v>
      </c>
      <c r="I52" s="16">
        <f>IFERROR(VLOOKUP($B52,'SAP 금액'!$A:$C,3,0),0)</f>
        <v>6879431</v>
      </c>
      <c r="J52" s="16">
        <f>IFERROR(VLOOKUP(B52,'SAP 금액'!E:F,2,0),0)</f>
        <v>0</v>
      </c>
      <c r="K52" s="16">
        <f>VLOOKUP($B52,'국세청 금액'!$A:$C,2,0)</f>
        <v>68794311</v>
      </c>
      <c r="L52" s="16">
        <f>VLOOKUP($B52,'국세청 금액'!$A:$C,3,0)</f>
        <v>6879431</v>
      </c>
      <c r="M52" s="16">
        <f>VLOOKUP(B52,'국세청 금액'!A:D,4,0)</f>
        <v>0</v>
      </c>
      <c r="N52" s="17">
        <f t="shared" si="3"/>
        <v>0</v>
      </c>
      <c r="O52" s="17">
        <f t="shared" si="4"/>
        <v>0</v>
      </c>
      <c r="P52" s="17">
        <f t="shared" si="5"/>
        <v>0</v>
      </c>
      <c r="Q52" s="4" t="b">
        <f t="shared" si="6"/>
        <v>0</v>
      </c>
      <c r="R52" s="4" t="b">
        <f t="shared" si="7"/>
        <v>0</v>
      </c>
    </row>
    <row r="53" spans="2:18" x14ac:dyDescent="0.25">
      <c r="B53" s="15" t="s">
        <v>100</v>
      </c>
      <c r="C53" s="15" t="s">
        <v>101</v>
      </c>
      <c r="D53" s="15" t="s">
        <v>411</v>
      </c>
      <c r="E53" s="4" t="str">
        <f t="shared" si="0"/>
        <v>226</v>
      </c>
      <c r="F53" s="4" t="str">
        <f t="shared" si="1"/>
        <v>85</v>
      </c>
      <c r="G53" s="4" t="str">
        <f t="shared" si="2"/>
        <v>31188</v>
      </c>
      <c r="H53" s="16">
        <f>IFERROR(VLOOKUP($B53,'SAP 금액'!$A:$C,2,0),0)</f>
        <v>12689055</v>
      </c>
      <c r="I53" s="16">
        <f>IFERROR(VLOOKUP($B53,'SAP 금액'!$A:$C,3,0),0)</f>
        <v>1268905</v>
      </c>
      <c r="J53" s="16">
        <f>IFERROR(VLOOKUP(B53,'SAP 금액'!E:F,2,0),0)</f>
        <v>0</v>
      </c>
      <c r="K53" s="16">
        <f>VLOOKUP($B53,'국세청 금액'!$A:$C,2,0)</f>
        <v>12689055</v>
      </c>
      <c r="L53" s="16">
        <f>VLOOKUP($B53,'국세청 금액'!$A:$C,3,0)</f>
        <v>1268905</v>
      </c>
      <c r="M53" s="16">
        <f>VLOOKUP(B53,'국세청 금액'!A:D,4,0)</f>
        <v>0</v>
      </c>
      <c r="N53" s="17">
        <f t="shared" si="3"/>
        <v>0</v>
      </c>
      <c r="O53" s="17">
        <f t="shared" si="4"/>
        <v>0</v>
      </c>
      <c r="P53" s="17">
        <f t="shared" si="5"/>
        <v>0</v>
      </c>
      <c r="Q53" s="4" t="b">
        <f t="shared" si="6"/>
        <v>0</v>
      </c>
      <c r="R53" s="4" t="b">
        <f t="shared" si="7"/>
        <v>0</v>
      </c>
    </row>
    <row r="54" spans="2:18" x14ac:dyDescent="0.25">
      <c r="B54" s="15" t="s">
        <v>102</v>
      </c>
      <c r="C54" s="15" t="s">
        <v>103</v>
      </c>
      <c r="D54" s="15" t="s">
        <v>412</v>
      </c>
      <c r="E54" s="4" t="str">
        <f t="shared" si="0"/>
        <v>301</v>
      </c>
      <c r="F54" s="4" t="str">
        <f t="shared" si="1"/>
        <v>85</v>
      </c>
      <c r="G54" s="4" t="str">
        <f t="shared" si="2"/>
        <v>43345</v>
      </c>
      <c r="H54" s="16">
        <f>IFERROR(VLOOKUP($B54,'SAP 금액'!$A:$C,2,0),0)</f>
        <v>2744138</v>
      </c>
      <c r="I54" s="16">
        <f>IFERROR(VLOOKUP($B54,'SAP 금액'!$A:$C,3,0),0)</f>
        <v>274413</v>
      </c>
      <c r="J54" s="16">
        <f>IFERROR(VLOOKUP(B54,'SAP 금액'!E:F,2,0),0)</f>
        <v>379879</v>
      </c>
      <c r="K54" s="16">
        <f>VLOOKUP($B54,'국세청 금액'!$A:$C,2,0)</f>
        <v>5913041</v>
      </c>
      <c r="L54" s="16">
        <f>VLOOKUP($B54,'국세청 금액'!$A:$C,3,0)</f>
        <v>591303</v>
      </c>
      <c r="M54" s="16">
        <f>VLOOKUP(B54,'국세청 금액'!A:D,4,0)</f>
        <v>379879</v>
      </c>
      <c r="N54" s="17">
        <f t="shared" si="3"/>
        <v>3168903</v>
      </c>
      <c r="O54" s="17">
        <f t="shared" si="4"/>
        <v>316890</v>
      </c>
      <c r="P54" s="17">
        <f t="shared" si="5"/>
        <v>0</v>
      </c>
      <c r="Q54" s="4" t="b">
        <f t="shared" si="6"/>
        <v>1</v>
      </c>
      <c r="R54" s="4" t="b">
        <f t="shared" si="7"/>
        <v>0</v>
      </c>
    </row>
    <row r="55" spans="2:18" x14ac:dyDescent="0.25">
      <c r="B55" s="15" t="s">
        <v>104</v>
      </c>
      <c r="C55" s="15" t="s">
        <v>105</v>
      </c>
      <c r="D55" s="15" t="s">
        <v>413</v>
      </c>
      <c r="E55" s="4" t="str">
        <f t="shared" si="0"/>
        <v>506</v>
      </c>
      <c r="F55" s="4" t="str">
        <f t="shared" si="1"/>
        <v>85</v>
      </c>
      <c r="G55" s="4" t="str">
        <f t="shared" si="2"/>
        <v>27203</v>
      </c>
      <c r="H55" s="16">
        <f>IFERROR(VLOOKUP($B55,'SAP 금액'!$A:$C,2,0),0)</f>
        <v>0</v>
      </c>
      <c r="I55" s="16">
        <f>IFERROR(VLOOKUP($B55,'SAP 금액'!$A:$C,3,0),0)</f>
        <v>0</v>
      </c>
      <c r="J55" s="16">
        <f>IFERROR(VLOOKUP(B55,'SAP 금액'!E:F,2,0),0)</f>
        <v>0</v>
      </c>
      <c r="K55" s="16">
        <f>VLOOKUP($B55,'국세청 금액'!$A:$C,2,0)</f>
        <v>0</v>
      </c>
      <c r="L55" s="16">
        <f>VLOOKUP($B55,'국세청 금액'!$A:$C,3,0)</f>
        <v>0</v>
      </c>
      <c r="M55" s="16">
        <f>VLOOKUP(B55,'국세청 금액'!A:D,4,0)</f>
        <v>0</v>
      </c>
      <c r="N55" s="17">
        <f t="shared" si="3"/>
        <v>0</v>
      </c>
      <c r="O55" s="17">
        <f t="shared" si="4"/>
        <v>0</v>
      </c>
      <c r="P55" s="17">
        <f t="shared" si="5"/>
        <v>0</v>
      </c>
      <c r="Q55" s="4" t="b">
        <f t="shared" si="6"/>
        <v>0</v>
      </c>
      <c r="R55" s="4" t="b">
        <f t="shared" si="7"/>
        <v>0</v>
      </c>
    </row>
    <row r="56" spans="2:18" x14ac:dyDescent="0.25">
      <c r="B56" s="15" t="s">
        <v>106</v>
      </c>
      <c r="C56" s="15" t="s">
        <v>107</v>
      </c>
      <c r="D56" s="15" t="s">
        <v>414</v>
      </c>
      <c r="E56" s="4" t="str">
        <f t="shared" si="0"/>
        <v>126</v>
      </c>
      <c r="F56" s="4" t="str">
        <f t="shared" si="1"/>
        <v>85</v>
      </c>
      <c r="G56" s="4" t="str">
        <f t="shared" si="2"/>
        <v>57762</v>
      </c>
      <c r="H56" s="16">
        <f>IFERROR(VLOOKUP($B56,'SAP 금액'!$A:$C,2,0),0)</f>
        <v>56898412</v>
      </c>
      <c r="I56" s="16">
        <f>IFERROR(VLOOKUP($B56,'SAP 금액'!$A:$C,3,0),0)</f>
        <v>5689841</v>
      </c>
      <c r="J56" s="16">
        <f>IFERROR(VLOOKUP(B56,'SAP 금액'!E:F,2,0),0)</f>
        <v>42587</v>
      </c>
      <c r="K56" s="16">
        <f>VLOOKUP($B56,'국세청 금액'!$A:$C,2,0)</f>
        <v>56898412</v>
      </c>
      <c r="L56" s="16">
        <f>VLOOKUP($B56,'국세청 금액'!$A:$C,3,0)</f>
        <v>5689841</v>
      </c>
      <c r="M56" s="16">
        <f>VLOOKUP(B56,'국세청 금액'!A:D,4,0)</f>
        <v>42587</v>
      </c>
      <c r="N56" s="17">
        <f t="shared" si="3"/>
        <v>0</v>
      </c>
      <c r="O56" s="17">
        <f t="shared" si="4"/>
        <v>0</v>
      </c>
      <c r="P56" s="17">
        <f t="shared" si="5"/>
        <v>0</v>
      </c>
      <c r="Q56" s="4" t="b">
        <f t="shared" si="6"/>
        <v>0</v>
      </c>
      <c r="R56" s="4" t="b">
        <f t="shared" si="7"/>
        <v>0</v>
      </c>
    </row>
    <row r="57" spans="2:18" x14ac:dyDescent="0.25">
      <c r="B57" s="15" t="s">
        <v>108</v>
      </c>
      <c r="C57" s="15" t="s">
        <v>109</v>
      </c>
      <c r="D57" s="15" t="s">
        <v>415</v>
      </c>
      <c r="E57" s="4" t="str">
        <f t="shared" si="0"/>
        <v>312</v>
      </c>
      <c r="F57" s="4" t="str">
        <f t="shared" si="1"/>
        <v>85</v>
      </c>
      <c r="G57" s="4" t="str">
        <f t="shared" si="2"/>
        <v>62060</v>
      </c>
      <c r="H57" s="16">
        <f>IFERROR(VLOOKUP($B57,'SAP 금액'!$A:$C,2,0),0)</f>
        <v>14950605</v>
      </c>
      <c r="I57" s="16">
        <f>IFERROR(VLOOKUP($B57,'SAP 금액'!$A:$C,3,0),0)</f>
        <v>1495057</v>
      </c>
      <c r="J57" s="16">
        <f>IFERROR(VLOOKUP(B57,'SAP 금액'!E:F,2,0),0)</f>
        <v>70520</v>
      </c>
      <c r="K57" s="16">
        <f>VLOOKUP($B57,'국세청 금액'!$A:$C,2,0)</f>
        <v>14950605</v>
      </c>
      <c r="L57" s="16">
        <f>VLOOKUP($B57,'국세청 금액'!$A:$C,3,0)</f>
        <v>1495057</v>
      </c>
      <c r="M57" s="16">
        <f>VLOOKUP(B57,'국세청 금액'!A:D,4,0)</f>
        <v>70520</v>
      </c>
      <c r="N57" s="17">
        <f t="shared" si="3"/>
        <v>0</v>
      </c>
      <c r="O57" s="17">
        <f t="shared" si="4"/>
        <v>0</v>
      </c>
      <c r="P57" s="17">
        <f t="shared" si="5"/>
        <v>0</v>
      </c>
      <c r="Q57" s="4" t="b">
        <f t="shared" si="6"/>
        <v>0</v>
      </c>
      <c r="R57" s="4" t="b">
        <f t="shared" si="7"/>
        <v>0</v>
      </c>
    </row>
    <row r="58" spans="2:18" x14ac:dyDescent="0.25">
      <c r="B58" s="15" t="s">
        <v>110</v>
      </c>
      <c r="C58" s="15" t="s">
        <v>111</v>
      </c>
      <c r="D58" s="15" t="s">
        <v>416</v>
      </c>
      <c r="E58" s="4" t="str">
        <f t="shared" si="0"/>
        <v>105</v>
      </c>
      <c r="F58" s="4" t="str">
        <f t="shared" si="1"/>
        <v>85</v>
      </c>
      <c r="G58" s="4" t="str">
        <f t="shared" si="2"/>
        <v>38526</v>
      </c>
      <c r="H58" s="16">
        <f>IFERROR(VLOOKUP($B58,'SAP 금액'!$A:$C,2,0),0)</f>
        <v>186680269</v>
      </c>
      <c r="I58" s="16">
        <f>IFERROR(VLOOKUP($B58,'SAP 금액'!$A:$C,3,0),0)</f>
        <v>18668019</v>
      </c>
      <c r="J58" s="16">
        <f>IFERROR(VLOOKUP(B58,'SAP 금액'!E:F,2,0),0)</f>
        <v>0</v>
      </c>
      <c r="K58" s="16">
        <f>VLOOKUP($B58,'국세청 금액'!$A:$C,2,0)</f>
        <v>186680269</v>
      </c>
      <c r="L58" s="16">
        <f>VLOOKUP($B58,'국세청 금액'!$A:$C,3,0)</f>
        <v>18668019</v>
      </c>
      <c r="M58" s="16">
        <f>VLOOKUP(B58,'국세청 금액'!A:D,4,0)</f>
        <v>0</v>
      </c>
      <c r="N58" s="17">
        <f t="shared" si="3"/>
        <v>0</v>
      </c>
      <c r="O58" s="17">
        <f t="shared" si="4"/>
        <v>0</v>
      </c>
      <c r="P58" s="17">
        <f t="shared" si="5"/>
        <v>0</v>
      </c>
      <c r="Q58" s="4" t="b">
        <f t="shared" si="6"/>
        <v>0</v>
      </c>
      <c r="R58" s="4" t="b">
        <f t="shared" si="7"/>
        <v>0</v>
      </c>
    </row>
    <row r="59" spans="2:18" x14ac:dyDescent="0.25">
      <c r="B59" s="15" t="s">
        <v>112</v>
      </c>
      <c r="C59" s="15" t="s">
        <v>113</v>
      </c>
      <c r="D59" s="15" t="s">
        <v>417</v>
      </c>
      <c r="E59" s="4" t="str">
        <f t="shared" si="0"/>
        <v>607</v>
      </c>
      <c r="F59" s="4" t="str">
        <f t="shared" si="1"/>
        <v>85</v>
      </c>
      <c r="G59" s="4" t="str">
        <f t="shared" si="2"/>
        <v>38380</v>
      </c>
      <c r="H59" s="16">
        <f>IFERROR(VLOOKUP($B59,'SAP 금액'!$A:$C,2,0),0)</f>
        <v>0</v>
      </c>
      <c r="I59" s="16">
        <f>IFERROR(VLOOKUP($B59,'SAP 금액'!$A:$C,3,0),0)</f>
        <v>0</v>
      </c>
      <c r="J59" s="16">
        <f>IFERROR(VLOOKUP(B59,'SAP 금액'!E:F,2,0),0)</f>
        <v>0</v>
      </c>
      <c r="K59" s="16">
        <f>VLOOKUP($B59,'국세청 금액'!$A:$C,2,0)</f>
        <v>0</v>
      </c>
      <c r="L59" s="16">
        <f>VLOOKUP($B59,'국세청 금액'!$A:$C,3,0)</f>
        <v>0</v>
      </c>
      <c r="M59" s="16">
        <f>VLOOKUP(B59,'국세청 금액'!A:D,4,0)</f>
        <v>0</v>
      </c>
      <c r="N59" s="17">
        <f t="shared" si="3"/>
        <v>0</v>
      </c>
      <c r="O59" s="17">
        <f t="shared" si="4"/>
        <v>0</v>
      </c>
      <c r="P59" s="17">
        <f t="shared" si="5"/>
        <v>0</v>
      </c>
      <c r="Q59" s="4" t="b">
        <f t="shared" si="6"/>
        <v>0</v>
      </c>
      <c r="R59" s="4" t="b">
        <f t="shared" si="7"/>
        <v>0</v>
      </c>
    </row>
    <row r="60" spans="2:18" x14ac:dyDescent="0.25">
      <c r="B60" s="15" t="s">
        <v>114</v>
      </c>
      <c r="C60" s="15" t="s">
        <v>115</v>
      </c>
      <c r="D60" s="15" t="s">
        <v>418</v>
      </c>
      <c r="E60" s="4" t="str">
        <f t="shared" si="0"/>
        <v>122</v>
      </c>
      <c r="F60" s="4" t="str">
        <f t="shared" si="1"/>
        <v>85</v>
      </c>
      <c r="G60" s="4" t="str">
        <f t="shared" si="2"/>
        <v>53390</v>
      </c>
      <c r="H60" s="16">
        <f>IFERROR(VLOOKUP($B60,'SAP 금액'!$A:$C,2,0),0)</f>
        <v>985538</v>
      </c>
      <c r="I60" s="16">
        <f>IFERROR(VLOOKUP($B60,'SAP 금액'!$A:$C,3,0),0)</f>
        <v>98554</v>
      </c>
      <c r="J60" s="16">
        <f>IFERROR(VLOOKUP(B60,'SAP 금액'!E:F,2,0),0)</f>
        <v>0</v>
      </c>
      <c r="K60" s="16">
        <f>VLOOKUP($B60,'국세청 금액'!$A:$C,2,0)</f>
        <v>985538</v>
      </c>
      <c r="L60" s="16">
        <f>VLOOKUP($B60,'국세청 금액'!$A:$C,3,0)</f>
        <v>98554</v>
      </c>
      <c r="M60" s="16">
        <f>VLOOKUP(B60,'국세청 금액'!A:D,4,0)</f>
        <v>0</v>
      </c>
      <c r="N60" s="17">
        <f t="shared" si="3"/>
        <v>0</v>
      </c>
      <c r="O60" s="17">
        <f t="shared" si="4"/>
        <v>0</v>
      </c>
      <c r="P60" s="17">
        <f t="shared" si="5"/>
        <v>0</v>
      </c>
      <c r="Q60" s="4" t="b">
        <f t="shared" si="6"/>
        <v>0</v>
      </c>
      <c r="R60" s="4" t="b">
        <f t="shared" si="7"/>
        <v>0</v>
      </c>
    </row>
    <row r="61" spans="2:18" x14ac:dyDescent="0.25">
      <c r="B61" s="15" t="s">
        <v>116</v>
      </c>
      <c r="C61" s="15" t="s">
        <v>117</v>
      </c>
      <c r="D61" s="15" t="s">
        <v>419</v>
      </c>
      <c r="E61" s="4" t="str">
        <f t="shared" si="0"/>
        <v>201</v>
      </c>
      <c r="F61" s="4" t="str">
        <f t="shared" si="1"/>
        <v>85</v>
      </c>
      <c r="G61" s="4" t="str">
        <f t="shared" si="2"/>
        <v>39503</v>
      </c>
      <c r="H61" s="16">
        <f>IFERROR(VLOOKUP($B61,'SAP 금액'!$A:$C,2,0),0)</f>
        <v>290159824</v>
      </c>
      <c r="I61" s="16">
        <f>IFERROR(VLOOKUP($B61,'SAP 금액'!$A:$C,3,0),0)</f>
        <v>29016006</v>
      </c>
      <c r="J61" s="16">
        <f>IFERROR(VLOOKUP(B61,'SAP 금액'!E:F,2,0),0)</f>
        <v>483864</v>
      </c>
      <c r="K61" s="16">
        <f>VLOOKUP($B61,'국세청 금액'!$A:$C,2,0)</f>
        <v>290159824</v>
      </c>
      <c r="L61" s="16">
        <f>VLOOKUP($B61,'국세청 금액'!$A:$C,3,0)</f>
        <v>29016006</v>
      </c>
      <c r="M61" s="16">
        <f>VLOOKUP(B61,'국세청 금액'!A:D,4,0)</f>
        <v>483864</v>
      </c>
      <c r="N61" s="17">
        <f t="shared" si="3"/>
        <v>0</v>
      </c>
      <c r="O61" s="17">
        <f t="shared" si="4"/>
        <v>0</v>
      </c>
      <c r="P61" s="17">
        <f t="shared" si="5"/>
        <v>0</v>
      </c>
      <c r="Q61" s="4" t="b">
        <f t="shared" si="6"/>
        <v>0</v>
      </c>
      <c r="R61" s="4" t="b">
        <f t="shared" si="7"/>
        <v>0</v>
      </c>
    </row>
    <row r="62" spans="2:18" x14ac:dyDescent="0.25">
      <c r="B62" s="15" t="s">
        <v>118</v>
      </c>
      <c r="C62" s="15" t="s">
        <v>119</v>
      </c>
      <c r="D62" s="15" t="s">
        <v>420</v>
      </c>
      <c r="E62" s="4" t="str">
        <f t="shared" si="0"/>
        <v>127</v>
      </c>
      <c r="F62" s="4" t="str">
        <f t="shared" si="1"/>
        <v>85</v>
      </c>
      <c r="G62" s="4" t="str">
        <f t="shared" si="2"/>
        <v>61032</v>
      </c>
      <c r="H62" s="16">
        <f>IFERROR(VLOOKUP($B62,'SAP 금액'!$A:$C,2,0),0)</f>
        <v>25865584</v>
      </c>
      <c r="I62" s="16">
        <f>IFERROR(VLOOKUP($B62,'SAP 금액'!$A:$C,3,0),0)</f>
        <v>2586559</v>
      </c>
      <c r="J62" s="16">
        <f>IFERROR(VLOOKUP(B62,'SAP 금액'!E:F,2,0),0)</f>
        <v>25840</v>
      </c>
      <c r="K62" s="16">
        <f>VLOOKUP($B62,'국세청 금액'!$A:$C,2,0)</f>
        <v>25865584</v>
      </c>
      <c r="L62" s="16">
        <f>VLOOKUP($B62,'국세청 금액'!$A:$C,3,0)</f>
        <v>2586559</v>
      </c>
      <c r="M62" s="16">
        <f>VLOOKUP(B62,'국세청 금액'!A:D,4,0)</f>
        <v>25840</v>
      </c>
      <c r="N62" s="17">
        <f t="shared" si="3"/>
        <v>0</v>
      </c>
      <c r="O62" s="17">
        <f t="shared" si="4"/>
        <v>0</v>
      </c>
      <c r="P62" s="17">
        <f t="shared" si="5"/>
        <v>0</v>
      </c>
      <c r="Q62" s="4" t="b">
        <f t="shared" si="6"/>
        <v>0</v>
      </c>
      <c r="R62" s="4" t="b">
        <f t="shared" si="7"/>
        <v>0</v>
      </c>
    </row>
    <row r="63" spans="2:18" x14ac:dyDescent="0.25">
      <c r="B63" s="15" t="s">
        <v>120</v>
      </c>
      <c r="C63" s="15" t="s">
        <v>121</v>
      </c>
      <c r="D63" s="15" t="s">
        <v>421</v>
      </c>
      <c r="E63" s="4" t="str">
        <f t="shared" si="0"/>
        <v>503</v>
      </c>
      <c r="F63" s="4" t="str">
        <f t="shared" si="1"/>
        <v>85</v>
      </c>
      <c r="G63" s="4" t="str">
        <f t="shared" si="2"/>
        <v>31668</v>
      </c>
      <c r="H63" s="16">
        <f>IFERROR(VLOOKUP($B63,'SAP 금액'!$A:$C,2,0),0)</f>
        <v>17215066</v>
      </c>
      <c r="I63" s="16">
        <f>IFERROR(VLOOKUP($B63,'SAP 금액'!$A:$C,3,0),0)</f>
        <v>1721506</v>
      </c>
      <c r="J63" s="16">
        <f>IFERROR(VLOOKUP(B63,'SAP 금액'!E:F,2,0),0)</f>
        <v>0</v>
      </c>
      <c r="K63" s="16">
        <f>VLOOKUP($B63,'국세청 금액'!$A:$C,2,0)</f>
        <v>18323293</v>
      </c>
      <c r="L63" s="16">
        <f>VLOOKUP($B63,'국세청 금액'!$A:$C,3,0)</f>
        <v>1832330</v>
      </c>
      <c r="M63" s="16">
        <f>VLOOKUP(B63,'국세청 금액'!A:D,4,0)</f>
        <v>0</v>
      </c>
      <c r="N63" s="17">
        <f t="shared" si="3"/>
        <v>1108227</v>
      </c>
      <c r="O63" s="17">
        <f t="shared" si="4"/>
        <v>110824</v>
      </c>
      <c r="P63" s="17">
        <f t="shared" si="5"/>
        <v>0</v>
      </c>
      <c r="Q63" s="4" t="b">
        <f t="shared" si="6"/>
        <v>1</v>
      </c>
      <c r="R63" s="4" t="b">
        <f t="shared" si="7"/>
        <v>0</v>
      </c>
    </row>
    <row r="64" spans="2:18" x14ac:dyDescent="0.25">
      <c r="B64" s="15" t="s">
        <v>122</v>
      </c>
      <c r="C64" s="15" t="s">
        <v>123</v>
      </c>
      <c r="D64" s="15" t="s">
        <v>422</v>
      </c>
      <c r="E64" s="4" t="str">
        <f t="shared" si="0"/>
        <v>504</v>
      </c>
      <c r="F64" s="4" t="str">
        <f t="shared" si="1"/>
        <v>85</v>
      </c>
      <c r="G64" s="4" t="str">
        <f t="shared" si="2"/>
        <v>41553</v>
      </c>
      <c r="H64" s="16">
        <f>IFERROR(VLOOKUP($B64,'SAP 금액'!$A:$C,2,0),0)</f>
        <v>46373218</v>
      </c>
      <c r="I64" s="16">
        <f>IFERROR(VLOOKUP($B64,'SAP 금액'!$A:$C,3,0),0)</f>
        <v>4637321</v>
      </c>
      <c r="J64" s="16">
        <f>IFERROR(VLOOKUP(B64,'SAP 금액'!E:F,2,0),0)</f>
        <v>0</v>
      </c>
      <c r="K64" s="16">
        <f>VLOOKUP($B64,'국세청 금액'!$A:$C,2,0)</f>
        <v>46373218</v>
      </c>
      <c r="L64" s="16">
        <f>VLOOKUP($B64,'국세청 금액'!$A:$C,3,0)</f>
        <v>4637321</v>
      </c>
      <c r="M64" s="16">
        <f>VLOOKUP(B64,'국세청 금액'!A:D,4,0)</f>
        <v>0</v>
      </c>
      <c r="N64" s="17">
        <f t="shared" si="3"/>
        <v>0</v>
      </c>
      <c r="O64" s="17">
        <f t="shared" si="4"/>
        <v>0</v>
      </c>
      <c r="P64" s="17">
        <f t="shared" si="5"/>
        <v>0</v>
      </c>
      <c r="Q64" s="4" t="b">
        <f t="shared" si="6"/>
        <v>0</v>
      </c>
      <c r="R64" s="4" t="b">
        <f t="shared" si="7"/>
        <v>0</v>
      </c>
    </row>
    <row r="65" spans="2:18" x14ac:dyDescent="0.25">
      <c r="B65" s="15" t="s">
        <v>124</v>
      </c>
      <c r="C65" s="15" t="s">
        <v>125</v>
      </c>
      <c r="D65" s="15" t="s">
        <v>423</v>
      </c>
      <c r="E65" s="4" t="str">
        <f t="shared" si="0"/>
        <v>124</v>
      </c>
      <c r="F65" s="4" t="str">
        <f t="shared" si="1"/>
        <v>85</v>
      </c>
      <c r="G65" s="4" t="str">
        <f t="shared" si="2"/>
        <v>82381</v>
      </c>
      <c r="H65" s="16">
        <f>IFERROR(VLOOKUP($B65,'SAP 금액'!$A:$C,2,0),0)</f>
        <v>125369495</v>
      </c>
      <c r="I65" s="16">
        <f>IFERROR(VLOOKUP($B65,'SAP 금액'!$A:$C,3,0),0)</f>
        <v>12536949</v>
      </c>
      <c r="J65" s="16">
        <f>IFERROR(VLOOKUP(B65,'SAP 금액'!E:F,2,0),0)</f>
        <v>437574</v>
      </c>
      <c r="K65" s="16">
        <f>VLOOKUP($B65,'국세청 금액'!$A:$C,2,0)</f>
        <v>125369495</v>
      </c>
      <c r="L65" s="16">
        <f>VLOOKUP($B65,'국세청 금액'!$A:$C,3,0)</f>
        <v>12536949</v>
      </c>
      <c r="M65" s="16">
        <f>VLOOKUP(B65,'국세청 금액'!A:D,4,0)</f>
        <v>437574</v>
      </c>
      <c r="N65" s="17">
        <f t="shared" si="3"/>
        <v>0</v>
      </c>
      <c r="O65" s="17">
        <f t="shared" si="4"/>
        <v>0</v>
      </c>
      <c r="P65" s="17">
        <f t="shared" si="5"/>
        <v>0</v>
      </c>
      <c r="Q65" s="4" t="b">
        <f t="shared" si="6"/>
        <v>0</v>
      </c>
      <c r="R65" s="4" t="b">
        <f t="shared" si="7"/>
        <v>0</v>
      </c>
    </row>
    <row r="66" spans="2:18" x14ac:dyDescent="0.25">
      <c r="B66" s="15" t="s">
        <v>126</v>
      </c>
      <c r="C66" s="15" t="s">
        <v>127</v>
      </c>
      <c r="D66" s="15" t="s">
        <v>424</v>
      </c>
      <c r="E66" s="4" t="str">
        <f t="shared" si="0"/>
        <v>312</v>
      </c>
      <c r="F66" s="4" t="str">
        <f t="shared" si="1"/>
        <v>85</v>
      </c>
      <c r="G66" s="4" t="str">
        <f t="shared" si="2"/>
        <v>64563</v>
      </c>
      <c r="H66" s="16">
        <f>IFERROR(VLOOKUP($B66,'SAP 금액'!$A:$C,2,0),0)</f>
        <v>279000</v>
      </c>
      <c r="I66" s="16">
        <f>IFERROR(VLOOKUP($B66,'SAP 금액'!$A:$C,3,0),0)</f>
        <v>27900</v>
      </c>
      <c r="J66" s="16">
        <f>IFERROR(VLOOKUP(B66,'SAP 금액'!E:F,2,0),0)</f>
        <v>0</v>
      </c>
      <c r="K66" s="16">
        <f>VLOOKUP($B66,'국세청 금액'!$A:$C,2,0)</f>
        <v>279000</v>
      </c>
      <c r="L66" s="16">
        <f>VLOOKUP($B66,'국세청 금액'!$A:$C,3,0)</f>
        <v>27900</v>
      </c>
      <c r="M66" s="16">
        <f>VLOOKUP(B66,'국세청 금액'!A:D,4,0)</f>
        <v>0</v>
      </c>
      <c r="N66" s="17">
        <f t="shared" si="3"/>
        <v>0</v>
      </c>
      <c r="O66" s="17">
        <f t="shared" si="4"/>
        <v>0</v>
      </c>
      <c r="P66" s="17">
        <f t="shared" si="5"/>
        <v>0</v>
      </c>
      <c r="Q66" s="4" t="b">
        <f t="shared" si="6"/>
        <v>0</v>
      </c>
      <c r="R66" s="4" t="b">
        <f t="shared" si="7"/>
        <v>0</v>
      </c>
    </row>
    <row r="67" spans="2:18" x14ac:dyDescent="0.25">
      <c r="B67" s="15" t="s">
        <v>128</v>
      </c>
      <c r="C67" s="15" t="s">
        <v>129</v>
      </c>
      <c r="D67" s="15" t="s">
        <v>425</v>
      </c>
      <c r="E67" s="4" t="str">
        <f t="shared" si="0"/>
        <v>402</v>
      </c>
      <c r="F67" s="4" t="str">
        <f t="shared" si="1"/>
        <v>85</v>
      </c>
      <c r="G67" s="4" t="str">
        <f t="shared" si="2"/>
        <v>33999</v>
      </c>
      <c r="H67" s="16">
        <f>IFERROR(VLOOKUP($B67,'SAP 금액'!$A:$C,2,0),0)</f>
        <v>49811618</v>
      </c>
      <c r="I67" s="16">
        <f>IFERROR(VLOOKUP($B67,'SAP 금액'!$A:$C,3,0),0)</f>
        <v>4981161</v>
      </c>
      <c r="J67" s="16">
        <f>IFERROR(VLOOKUP(B67,'SAP 금액'!E:F,2,0),0)</f>
        <v>245727</v>
      </c>
      <c r="K67" s="16">
        <f>VLOOKUP($B67,'국세청 금액'!$A:$C,2,0)</f>
        <v>49811618</v>
      </c>
      <c r="L67" s="16">
        <f>VLOOKUP($B67,'국세청 금액'!$A:$C,3,0)</f>
        <v>4981161</v>
      </c>
      <c r="M67" s="16">
        <f>VLOOKUP(B67,'국세청 금액'!A:D,4,0)</f>
        <v>245727</v>
      </c>
      <c r="N67" s="17">
        <f t="shared" si="3"/>
        <v>0</v>
      </c>
      <c r="O67" s="17">
        <f t="shared" si="4"/>
        <v>0</v>
      </c>
      <c r="P67" s="17">
        <f t="shared" si="5"/>
        <v>0</v>
      </c>
      <c r="Q67" s="4" t="b">
        <f t="shared" si="6"/>
        <v>0</v>
      </c>
      <c r="R67" s="4" t="b">
        <f t="shared" si="7"/>
        <v>0</v>
      </c>
    </row>
    <row r="68" spans="2:18" x14ac:dyDescent="0.25">
      <c r="B68" s="15" t="s">
        <v>130</v>
      </c>
      <c r="C68" s="15" t="s">
        <v>131</v>
      </c>
      <c r="D68" s="15" t="s">
        <v>426</v>
      </c>
      <c r="E68" s="4" t="str">
        <f t="shared" ref="E68:E131" si="8">LEFT(D68,3)</f>
        <v>411</v>
      </c>
      <c r="F68" s="4" t="str">
        <f t="shared" ref="F68:F131" si="9">MID(D68,4,2)</f>
        <v>85</v>
      </c>
      <c r="G68" s="4" t="str">
        <f t="shared" ref="G68:G131" si="10">RIGHT(D68,5)</f>
        <v>20955</v>
      </c>
      <c r="H68" s="16">
        <f>IFERROR(VLOOKUP($B68,'SAP 금액'!$A:$C,2,0),0)</f>
        <v>17362359</v>
      </c>
      <c r="I68" s="16">
        <f>IFERROR(VLOOKUP($B68,'SAP 금액'!$A:$C,3,0),0)</f>
        <v>1736235</v>
      </c>
      <c r="J68" s="16">
        <f>IFERROR(VLOOKUP(B68,'SAP 금액'!E:F,2,0),0)</f>
        <v>0</v>
      </c>
      <c r="K68" s="16">
        <f>VLOOKUP($B68,'국세청 금액'!$A:$C,2,0)</f>
        <v>18932787</v>
      </c>
      <c r="L68" s="16">
        <f>VLOOKUP($B68,'국세청 금액'!$A:$C,3,0)</f>
        <v>1893278</v>
      </c>
      <c r="M68" s="16">
        <f>VLOOKUP(B68,'국세청 금액'!A:D,4,0)</f>
        <v>0</v>
      </c>
      <c r="N68" s="17">
        <f t="shared" si="3"/>
        <v>1570428</v>
      </c>
      <c r="O68" s="17">
        <f t="shared" si="4"/>
        <v>157043</v>
      </c>
      <c r="P68" s="17">
        <f t="shared" si="5"/>
        <v>0</v>
      </c>
      <c r="Q68" s="4" t="b">
        <f t="shared" si="6"/>
        <v>1</v>
      </c>
      <c r="R68" s="4" t="b">
        <f t="shared" si="7"/>
        <v>0</v>
      </c>
    </row>
    <row r="69" spans="2:18" x14ac:dyDescent="0.25">
      <c r="B69" s="15" t="s">
        <v>132</v>
      </c>
      <c r="C69" s="15" t="s">
        <v>133</v>
      </c>
      <c r="D69" s="15" t="s">
        <v>427</v>
      </c>
      <c r="E69" s="4" t="str">
        <f t="shared" si="8"/>
        <v>201</v>
      </c>
      <c r="F69" s="4" t="str">
        <f t="shared" si="9"/>
        <v>85</v>
      </c>
      <c r="G69" s="4" t="str">
        <f t="shared" si="10"/>
        <v>39973</v>
      </c>
      <c r="H69" s="16">
        <f>IFERROR(VLOOKUP($B69,'SAP 금액'!$A:$C,2,0),0)</f>
        <v>281183637</v>
      </c>
      <c r="I69" s="16">
        <f>IFERROR(VLOOKUP($B69,'SAP 금액'!$A:$C,3,0),0)</f>
        <v>28118327</v>
      </c>
      <c r="J69" s="16">
        <f>IFERROR(VLOOKUP(B69,'SAP 금액'!E:F,2,0),0)</f>
        <v>0</v>
      </c>
      <c r="K69" s="16">
        <f>VLOOKUP($B69,'국세청 금액'!$A:$C,2,0)</f>
        <v>281183637</v>
      </c>
      <c r="L69" s="16">
        <f>VLOOKUP($B69,'국세청 금액'!$A:$C,3,0)</f>
        <v>28118327</v>
      </c>
      <c r="M69" s="16">
        <f>VLOOKUP(B69,'국세청 금액'!A:D,4,0)</f>
        <v>0</v>
      </c>
      <c r="N69" s="17">
        <f t="shared" si="3"/>
        <v>0</v>
      </c>
      <c r="O69" s="17">
        <f t="shared" si="4"/>
        <v>0</v>
      </c>
      <c r="P69" s="17">
        <f t="shared" si="5"/>
        <v>0</v>
      </c>
      <c r="Q69" s="4" t="b">
        <f t="shared" si="6"/>
        <v>0</v>
      </c>
      <c r="R69" s="4" t="b">
        <f t="shared" si="7"/>
        <v>0</v>
      </c>
    </row>
    <row r="70" spans="2:18" x14ac:dyDescent="0.25">
      <c r="B70" s="15" t="s">
        <v>134</v>
      </c>
      <c r="C70" s="15" t="s">
        <v>135</v>
      </c>
      <c r="D70" s="15" t="s">
        <v>428</v>
      </c>
      <c r="E70" s="4" t="str">
        <f t="shared" si="8"/>
        <v>617</v>
      </c>
      <c r="F70" s="4" t="str">
        <f t="shared" si="9"/>
        <v>85</v>
      </c>
      <c r="G70" s="4" t="str">
        <f t="shared" si="10"/>
        <v>46403</v>
      </c>
      <c r="H70" s="16">
        <f>IFERROR(VLOOKUP($B70,'SAP 금액'!$A:$C,2,0),0)</f>
        <v>66382813</v>
      </c>
      <c r="I70" s="16">
        <f>IFERROR(VLOOKUP($B70,'SAP 금액'!$A:$C,3,0),0)</f>
        <v>6638280</v>
      </c>
      <c r="J70" s="16">
        <f>IFERROR(VLOOKUP(B70,'SAP 금액'!E:F,2,0),0)</f>
        <v>2094737</v>
      </c>
      <c r="K70" s="16">
        <f>VLOOKUP($B70,'국세청 금액'!$A:$C,2,0)</f>
        <v>66382813</v>
      </c>
      <c r="L70" s="16">
        <f>VLOOKUP($B70,'국세청 금액'!$A:$C,3,0)</f>
        <v>6638280</v>
      </c>
      <c r="M70" s="16">
        <f>VLOOKUP(B70,'국세청 금액'!A:D,4,0)</f>
        <v>2094737</v>
      </c>
      <c r="N70" s="17">
        <f t="shared" ref="N70:N133" si="11">K70-H70</f>
        <v>0</v>
      </c>
      <c r="O70" s="17">
        <f t="shared" ref="O70:O133" si="12">L70-I70</f>
        <v>0</v>
      </c>
      <c r="P70" s="17">
        <f t="shared" ref="P70:P133" si="13">M70-J70</f>
        <v>0</v>
      </c>
      <c r="Q70" s="4" t="b">
        <f t="shared" ref="Q70:Q133" si="14">AND(N70&lt;&gt;0,O70&lt;&gt;0)</f>
        <v>0</v>
      </c>
      <c r="R70" s="4" t="b">
        <f t="shared" ref="R70:R133" si="15">P70&lt;&gt;0</f>
        <v>0</v>
      </c>
    </row>
    <row r="71" spans="2:18" x14ac:dyDescent="0.25">
      <c r="B71" s="15" t="s">
        <v>136</v>
      </c>
      <c r="C71" s="15" t="s">
        <v>137</v>
      </c>
      <c r="D71" s="15" t="s">
        <v>429</v>
      </c>
      <c r="E71" s="4" t="str">
        <f t="shared" si="8"/>
        <v>615</v>
      </c>
      <c r="F71" s="4" t="str">
        <f t="shared" si="9"/>
        <v>85</v>
      </c>
      <c r="G71" s="4" t="str">
        <f t="shared" si="10"/>
        <v>34901</v>
      </c>
      <c r="H71" s="16">
        <f>IFERROR(VLOOKUP($B71,'SAP 금액'!$A:$C,2,0),0)</f>
        <v>18688292</v>
      </c>
      <c r="I71" s="16">
        <f>IFERROR(VLOOKUP($B71,'SAP 금액'!$A:$C,3,0),0)</f>
        <v>1868828</v>
      </c>
      <c r="J71" s="16">
        <f>IFERROR(VLOOKUP(B71,'SAP 금액'!E:F,2,0),0)</f>
        <v>302612</v>
      </c>
      <c r="K71" s="16">
        <f>VLOOKUP($B71,'국세청 금액'!$A:$C,2,0)</f>
        <v>0</v>
      </c>
      <c r="L71" s="16">
        <f>VLOOKUP($B71,'국세청 금액'!$A:$C,3,0)</f>
        <v>1868828</v>
      </c>
      <c r="M71" s="16">
        <f>VLOOKUP(B71,'국세청 금액'!A:D,4,0)</f>
        <v>302612</v>
      </c>
      <c r="N71" s="17">
        <f t="shared" si="11"/>
        <v>-18688292</v>
      </c>
      <c r="O71" s="17">
        <f t="shared" si="12"/>
        <v>0</v>
      </c>
      <c r="P71" s="17">
        <f t="shared" si="13"/>
        <v>0</v>
      </c>
      <c r="Q71" s="4" t="b">
        <f t="shared" si="14"/>
        <v>0</v>
      </c>
      <c r="R71" s="4" t="b">
        <f t="shared" si="15"/>
        <v>0</v>
      </c>
    </row>
    <row r="72" spans="2:18" x14ac:dyDescent="0.25">
      <c r="B72" s="15" t="s">
        <v>138</v>
      </c>
      <c r="C72" s="15" t="s">
        <v>139</v>
      </c>
      <c r="D72" s="15" t="s">
        <v>430</v>
      </c>
      <c r="E72" s="4" t="str">
        <f t="shared" si="8"/>
        <v>314</v>
      </c>
      <c r="F72" s="4" t="str">
        <f t="shared" si="9"/>
        <v>85</v>
      </c>
      <c r="G72" s="4" t="str">
        <f t="shared" si="10"/>
        <v>53271</v>
      </c>
      <c r="H72" s="16">
        <f>IFERROR(VLOOKUP($B72,'SAP 금액'!$A:$C,2,0),0)</f>
        <v>28672461</v>
      </c>
      <c r="I72" s="16">
        <f>IFERROR(VLOOKUP($B72,'SAP 금액'!$A:$C,3,0),0)</f>
        <v>2867245</v>
      </c>
      <c r="J72" s="16">
        <f>IFERROR(VLOOKUP(B72,'SAP 금액'!E:F,2,0),0)</f>
        <v>16120</v>
      </c>
      <c r="K72" s="16">
        <f>VLOOKUP($B72,'국세청 금액'!$A:$C,2,0)</f>
        <v>28672461</v>
      </c>
      <c r="L72" s="16">
        <f>VLOOKUP($B72,'국세청 금액'!$A:$C,3,0)</f>
        <v>2867245</v>
      </c>
      <c r="M72" s="16">
        <f>VLOOKUP(B72,'국세청 금액'!A:D,4,0)</f>
        <v>16120</v>
      </c>
      <c r="N72" s="17">
        <f t="shared" si="11"/>
        <v>0</v>
      </c>
      <c r="O72" s="17">
        <f t="shared" si="12"/>
        <v>0</v>
      </c>
      <c r="P72" s="17">
        <f t="shared" si="13"/>
        <v>0</v>
      </c>
      <c r="Q72" s="4" t="b">
        <f t="shared" si="14"/>
        <v>0</v>
      </c>
      <c r="R72" s="4" t="b">
        <f t="shared" si="15"/>
        <v>0</v>
      </c>
    </row>
    <row r="73" spans="2:18" x14ac:dyDescent="0.25">
      <c r="B73" s="15" t="s">
        <v>140</v>
      </c>
      <c r="C73" s="15" t="s">
        <v>141</v>
      </c>
      <c r="D73" s="15" t="s">
        <v>431</v>
      </c>
      <c r="E73" s="4" t="str">
        <f t="shared" si="8"/>
        <v>616</v>
      </c>
      <c r="F73" s="4" t="str">
        <f t="shared" si="9"/>
        <v>85</v>
      </c>
      <c r="G73" s="4" t="str">
        <f t="shared" si="10"/>
        <v>35086</v>
      </c>
      <c r="H73" s="16">
        <f>IFERROR(VLOOKUP($B73,'SAP 금액'!$A:$C,2,0),0)</f>
        <v>368939</v>
      </c>
      <c r="I73" s="16">
        <f>IFERROR(VLOOKUP($B73,'SAP 금액'!$A:$C,3,0),0)</f>
        <v>36894</v>
      </c>
      <c r="J73" s="16">
        <f>IFERROR(VLOOKUP(B73,'SAP 금액'!E:F,2,0),0)</f>
        <v>150000</v>
      </c>
      <c r="K73" s="16">
        <f>VLOOKUP($B73,'국세청 금액'!$A:$C,2,0)</f>
        <v>1745713</v>
      </c>
      <c r="L73" s="16">
        <f>VLOOKUP($B73,'국세청 금액'!$A:$C,3,0)</f>
        <v>174571</v>
      </c>
      <c r="M73" s="16">
        <f>VLOOKUP(B73,'국세청 금액'!A:D,4,0)</f>
        <v>150000</v>
      </c>
      <c r="N73" s="17">
        <f t="shared" si="11"/>
        <v>1376774</v>
      </c>
      <c r="O73" s="17">
        <f t="shared" si="12"/>
        <v>137677</v>
      </c>
      <c r="P73" s="17">
        <f t="shared" si="13"/>
        <v>0</v>
      </c>
      <c r="Q73" s="4" t="b">
        <f t="shared" si="14"/>
        <v>1</v>
      </c>
      <c r="R73" s="4" t="b">
        <f t="shared" si="15"/>
        <v>0</v>
      </c>
    </row>
    <row r="74" spans="2:18" x14ac:dyDescent="0.25">
      <c r="B74" s="15" t="s">
        <v>142</v>
      </c>
      <c r="C74" s="15" t="s">
        <v>143</v>
      </c>
      <c r="D74" s="15" t="s">
        <v>432</v>
      </c>
      <c r="E74" s="4" t="str">
        <f t="shared" si="8"/>
        <v>621</v>
      </c>
      <c r="F74" s="4" t="str">
        <f t="shared" si="9"/>
        <v>85</v>
      </c>
      <c r="G74" s="4" t="str">
        <f t="shared" si="10"/>
        <v>40183</v>
      </c>
      <c r="H74" s="16">
        <f>IFERROR(VLOOKUP($B74,'SAP 금액'!$A:$C,2,0),0)</f>
        <v>110337826</v>
      </c>
      <c r="I74" s="16">
        <f>IFERROR(VLOOKUP($B74,'SAP 금액'!$A:$C,3,0),0)</f>
        <v>11033782</v>
      </c>
      <c r="J74" s="16">
        <f>IFERROR(VLOOKUP(B74,'SAP 금액'!E:F,2,0),0)</f>
        <v>0</v>
      </c>
      <c r="K74" s="16">
        <f>VLOOKUP($B74,'국세청 금액'!$A:$C,2,0)</f>
        <v>110337826</v>
      </c>
      <c r="L74" s="16">
        <f>VLOOKUP($B74,'국세청 금액'!$A:$C,3,0)</f>
        <v>11033782</v>
      </c>
      <c r="M74" s="16">
        <f>VLOOKUP(B74,'국세청 금액'!A:D,4,0)</f>
        <v>0</v>
      </c>
      <c r="N74" s="17">
        <f t="shared" si="11"/>
        <v>0</v>
      </c>
      <c r="O74" s="17">
        <f t="shared" si="12"/>
        <v>0</v>
      </c>
      <c r="P74" s="17">
        <f t="shared" si="13"/>
        <v>0</v>
      </c>
      <c r="Q74" s="4" t="b">
        <f t="shared" si="14"/>
        <v>0</v>
      </c>
      <c r="R74" s="4" t="b">
        <f t="shared" si="15"/>
        <v>0</v>
      </c>
    </row>
    <row r="75" spans="2:18" x14ac:dyDescent="0.25">
      <c r="B75" s="15" t="s">
        <v>144</v>
      </c>
      <c r="C75" s="15" t="s">
        <v>145</v>
      </c>
      <c r="D75" s="15" t="s">
        <v>433</v>
      </c>
      <c r="E75" s="4" t="str">
        <f t="shared" si="8"/>
        <v>408</v>
      </c>
      <c r="F75" s="4" t="str">
        <f t="shared" si="9"/>
        <v>85</v>
      </c>
      <c r="G75" s="4" t="str">
        <f t="shared" si="10"/>
        <v>31679</v>
      </c>
      <c r="H75" s="16">
        <f>IFERROR(VLOOKUP($B75,'SAP 금액'!$A:$C,2,0),0)</f>
        <v>22834477</v>
      </c>
      <c r="I75" s="16">
        <f>IFERROR(VLOOKUP($B75,'SAP 금액'!$A:$C,3,0),0)</f>
        <v>2283448</v>
      </c>
      <c r="J75" s="16">
        <f>IFERROR(VLOOKUP(B75,'SAP 금액'!E:F,2,0),0)</f>
        <v>0</v>
      </c>
      <c r="K75" s="16">
        <f>VLOOKUP($B75,'국세청 금액'!$A:$C,2,0)</f>
        <v>22834477</v>
      </c>
      <c r="L75" s="16">
        <f>VLOOKUP($B75,'국세청 금액'!$A:$C,3,0)</f>
        <v>2283448</v>
      </c>
      <c r="M75" s="16">
        <f>VLOOKUP(B75,'국세청 금액'!A:D,4,0)</f>
        <v>0</v>
      </c>
      <c r="N75" s="17">
        <f t="shared" si="11"/>
        <v>0</v>
      </c>
      <c r="O75" s="17">
        <f t="shared" si="12"/>
        <v>0</v>
      </c>
      <c r="P75" s="17">
        <f t="shared" si="13"/>
        <v>0</v>
      </c>
      <c r="Q75" s="4" t="b">
        <f t="shared" si="14"/>
        <v>0</v>
      </c>
      <c r="R75" s="4" t="b">
        <f t="shared" si="15"/>
        <v>0</v>
      </c>
    </row>
    <row r="76" spans="2:18" x14ac:dyDescent="0.25">
      <c r="B76" s="15" t="s">
        <v>146</v>
      </c>
      <c r="C76" s="15" t="s">
        <v>147</v>
      </c>
      <c r="D76" s="15" t="s">
        <v>434</v>
      </c>
      <c r="E76" s="4" t="str">
        <f t="shared" si="8"/>
        <v>105</v>
      </c>
      <c r="F76" s="4" t="str">
        <f t="shared" si="9"/>
        <v>85</v>
      </c>
      <c r="G76" s="4" t="str">
        <f t="shared" si="10"/>
        <v>41147</v>
      </c>
      <c r="H76" s="16">
        <f>IFERROR(VLOOKUP($B76,'SAP 금액'!$A:$C,2,0),0)</f>
        <v>241030334</v>
      </c>
      <c r="I76" s="16">
        <f>IFERROR(VLOOKUP($B76,'SAP 금액'!$A:$C,3,0),0)</f>
        <v>24103040</v>
      </c>
      <c r="J76" s="16">
        <f>IFERROR(VLOOKUP(B76,'SAP 금액'!E:F,2,0),0)</f>
        <v>10618381</v>
      </c>
      <c r="K76" s="16">
        <f>VLOOKUP($B76,'국세청 금액'!$A:$C,2,0)</f>
        <v>241030334</v>
      </c>
      <c r="L76" s="16">
        <f>VLOOKUP($B76,'국세청 금액'!$A:$C,3,0)</f>
        <v>24103040</v>
      </c>
      <c r="M76" s="16">
        <f>VLOOKUP(B76,'국세청 금액'!A:D,4,0)</f>
        <v>10618381</v>
      </c>
      <c r="N76" s="17">
        <f t="shared" si="11"/>
        <v>0</v>
      </c>
      <c r="O76" s="17">
        <f t="shared" si="12"/>
        <v>0</v>
      </c>
      <c r="P76" s="17">
        <f t="shared" si="13"/>
        <v>0</v>
      </c>
      <c r="Q76" s="4" t="b">
        <f t="shared" si="14"/>
        <v>0</v>
      </c>
      <c r="R76" s="4" t="b">
        <f t="shared" si="15"/>
        <v>0</v>
      </c>
    </row>
    <row r="77" spans="2:18" x14ac:dyDescent="0.25">
      <c r="B77" s="15" t="s">
        <v>148</v>
      </c>
      <c r="C77" s="15" t="s">
        <v>149</v>
      </c>
      <c r="D77" s="15" t="s">
        <v>435</v>
      </c>
      <c r="E77" s="4" t="str">
        <f t="shared" si="8"/>
        <v>608</v>
      </c>
      <c r="F77" s="4" t="str">
        <f t="shared" si="9"/>
        <v>85</v>
      </c>
      <c r="G77" s="4" t="str">
        <f t="shared" si="10"/>
        <v>36371</v>
      </c>
      <c r="H77" s="16">
        <f>IFERROR(VLOOKUP($B77,'SAP 금액'!$A:$C,2,0),0)</f>
        <v>141049</v>
      </c>
      <c r="I77" s="16">
        <f>IFERROR(VLOOKUP($B77,'SAP 금액'!$A:$C,3,0),0)</f>
        <v>14104</v>
      </c>
      <c r="J77" s="16">
        <f>IFERROR(VLOOKUP(B77,'SAP 금액'!E:F,2,0),0)</f>
        <v>0</v>
      </c>
      <c r="K77" s="16">
        <f>VLOOKUP($B77,'국세청 금액'!$A:$C,2,0)</f>
        <v>141049</v>
      </c>
      <c r="L77" s="16">
        <f>VLOOKUP($B77,'국세청 금액'!$A:$C,3,0)</f>
        <v>14104</v>
      </c>
      <c r="M77" s="16">
        <f>VLOOKUP(B77,'국세청 금액'!A:D,4,0)</f>
        <v>0</v>
      </c>
      <c r="N77" s="17">
        <f t="shared" si="11"/>
        <v>0</v>
      </c>
      <c r="O77" s="17">
        <f t="shared" si="12"/>
        <v>0</v>
      </c>
      <c r="P77" s="17">
        <f t="shared" si="13"/>
        <v>0</v>
      </c>
      <c r="Q77" s="4" t="b">
        <f t="shared" si="14"/>
        <v>0</v>
      </c>
      <c r="R77" s="4" t="b">
        <f t="shared" si="15"/>
        <v>0</v>
      </c>
    </row>
    <row r="78" spans="2:18" x14ac:dyDescent="0.25">
      <c r="B78" s="15" t="s">
        <v>150</v>
      </c>
      <c r="C78" s="15" t="s">
        <v>151</v>
      </c>
      <c r="D78" s="15" t="s">
        <v>436</v>
      </c>
      <c r="E78" s="4" t="str">
        <f t="shared" si="8"/>
        <v>613</v>
      </c>
      <c r="F78" s="4" t="str">
        <f t="shared" si="9"/>
        <v>85</v>
      </c>
      <c r="G78" s="4" t="str">
        <f t="shared" si="10"/>
        <v>23086</v>
      </c>
      <c r="H78" s="16">
        <f>IFERROR(VLOOKUP($B78,'SAP 금액'!$A:$C,2,0),0)</f>
        <v>0</v>
      </c>
      <c r="I78" s="16">
        <f>IFERROR(VLOOKUP($B78,'SAP 금액'!$A:$C,3,0),0)</f>
        <v>0</v>
      </c>
      <c r="J78" s="16">
        <f>IFERROR(VLOOKUP(B78,'SAP 금액'!E:F,2,0),0)</f>
        <v>0</v>
      </c>
      <c r="K78" s="16">
        <f>VLOOKUP($B78,'국세청 금액'!$A:$C,2,0)</f>
        <v>0</v>
      </c>
      <c r="L78" s="16">
        <f>VLOOKUP($B78,'국세청 금액'!$A:$C,3,0)</f>
        <v>0</v>
      </c>
      <c r="M78" s="16">
        <f>VLOOKUP(B78,'국세청 금액'!A:D,4,0)</f>
        <v>0</v>
      </c>
      <c r="N78" s="17">
        <f t="shared" si="11"/>
        <v>0</v>
      </c>
      <c r="O78" s="17">
        <f t="shared" si="12"/>
        <v>0</v>
      </c>
      <c r="P78" s="17">
        <f t="shared" si="13"/>
        <v>0</v>
      </c>
      <c r="Q78" s="4" t="b">
        <f t="shared" si="14"/>
        <v>0</v>
      </c>
      <c r="R78" s="4" t="b">
        <f t="shared" si="15"/>
        <v>0</v>
      </c>
    </row>
    <row r="79" spans="2:18" x14ac:dyDescent="0.25">
      <c r="B79" s="15" t="s">
        <v>152</v>
      </c>
      <c r="C79" s="15" t="s">
        <v>153</v>
      </c>
      <c r="D79" s="15" t="s">
        <v>437</v>
      </c>
      <c r="E79" s="4" t="str">
        <f t="shared" si="8"/>
        <v>861</v>
      </c>
      <c r="F79" s="4" t="str">
        <f t="shared" si="9"/>
        <v>85</v>
      </c>
      <c r="G79" s="4" t="str">
        <f t="shared" si="10"/>
        <v>00023</v>
      </c>
      <c r="H79" s="16">
        <f>IFERROR(VLOOKUP($B79,'SAP 금액'!$A:$C,2,0),0)</f>
        <v>5111168</v>
      </c>
      <c r="I79" s="16">
        <f>IFERROR(VLOOKUP($B79,'SAP 금액'!$A:$C,3,0),0)</f>
        <v>511116</v>
      </c>
      <c r="J79" s="16">
        <f>IFERROR(VLOOKUP(B79,'SAP 금액'!E:F,2,0),0)</f>
        <v>69510</v>
      </c>
      <c r="K79" s="16">
        <f>VLOOKUP($B79,'국세청 금액'!$A:$C,2,0)</f>
        <v>5111168</v>
      </c>
      <c r="L79" s="16">
        <f>VLOOKUP($B79,'국세청 금액'!$A:$C,3,0)</f>
        <v>511116</v>
      </c>
      <c r="M79" s="16">
        <f>VLOOKUP(B79,'국세청 금액'!A:D,4,0)</f>
        <v>69510</v>
      </c>
      <c r="N79" s="17">
        <f t="shared" si="11"/>
        <v>0</v>
      </c>
      <c r="O79" s="17">
        <f t="shared" si="12"/>
        <v>0</v>
      </c>
      <c r="P79" s="17">
        <f t="shared" si="13"/>
        <v>0</v>
      </c>
      <c r="Q79" s="4" t="b">
        <f t="shared" si="14"/>
        <v>0</v>
      </c>
      <c r="R79" s="4" t="b">
        <f t="shared" si="15"/>
        <v>0</v>
      </c>
    </row>
    <row r="80" spans="2:18" x14ac:dyDescent="0.25">
      <c r="B80" s="15" t="s">
        <v>154</v>
      </c>
      <c r="C80" s="15" t="s">
        <v>155</v>
      </c>
      <c r="D80" s="15" t="s">
        <v>438</v>
      </c>
      <c r="E80" s="4" t="str">
        <f t="shared" si="8"/>
        <v>698</v>
      </c>
      <c r="F80" s="4" t="str">
        <f t="shared" si="9"/>
        <v>85</v>
      </c>
      <c r="G80" s="4" t="str">
        <f t="shared" si="10"/>
        <v>00032</v>
      </c>
      <c r="H80" s="16">
        <f>IFERROR(VLOOKUP($B80,'SAP 금액'!$A:$C,2,0),0)</f>
        <v>10117630</v>
      </c>
      <c r="I80" s="16">
        <f>IFERROR(VLOOKUP($B80,'SAP 금액'!$A:$C,3,0),0)</f>
        <v>1011763</v>
      </c>
      <c r="J80" s="16">
        <f>IFERROR(VLOOKUP(B80,'SAP 금액'!E:F,2,0),0)</f>
        <v>0</v>
      </c>
      <c r="K80" s="16">
        <f>VLOOKUP($B80,'국세청 금액'!$A:$C,2,0)</f>
        <v>10117630</v>
      </c>
      <c r="L80" s="16">
        <f>VLOOKUP($B80,'국세청 금액'!$A:$C,3,0)</f>
        <v>1011763</v>
      </c>
      <c r="M80" s="16">
        <f>VLOOKUP(B80,'국세청 금액'!A:D,4,0)</f>
        <v>0</v>
      </c>
      <c r="N80" s="17">
        <f t="shared" si="11"/>
        <v>0</v>
      </c>
      <c r="O80" s="17">
        <f t="shared" si="12"/>
        <v>0</v>
      </c>
      <c r="P80" s="17">
        <f t="shared" si="13"/>
        <v>0</v>
      </c>
      <c r="Q80" s="4" t="b">
        <f t="shared" si="14"/>
        <v>0</v>
      </c>
      <c r="R80" s="4" t="b">
        <f t="shared" si="15"/>
        <v>0</v>
      </c>
    </row>
    <row r="81" spans="2:18" x14ac:dyDescent="0.25">
      <c r="B81" s="15" t="s">
        <v>156</v>
      </c>
      <c r="C81" s="15" t="s">
        <v>157</v>
      </c>
      <c r="D81" s="15" t="s">
        <v>439</v>
      </c>
      <c r="E81" s="4" t="str">
        <f t="shared" si="8"/>
        <v>433</v>
      </c>
      <c r="F81" s="4" t="str">
        <f t="shared" si="9"/>
        <v>85</v>
      </c>
      <c r="G81" s="4" t="str">
        <f t="shared" si="10"/>
        <v>00041</v>
      </c>
      <c r="H81" s="16">
        <f>IFERROR(VLOOKUP($B81,'SAP 금액'!$A:$C,2,0),0)</f>
        <v>138904</v>
      </c>
      <c r="I81" s="16">
        <f>IFERROR(VLOOKUP($B81,'SAP 금액'!$A:$C,3,0),0)</f>
        <v>13890</v>
      </c>
      <c r="J81" s="16">
        <f>IFERROR(VLOOKUP(B81,'SAP 금액'!E:F,2,0),0)</f>
        <v>0</v>
      </c>
      <c r="K81" s="16">
        <f>VLOOKUP($B81,'국세청 금액'!$A:$C,2,0)</f>
        <v>12271912</v>
      </c>
      <c r="L81" s="16">
        <f>VLOOKUP($B81,'국세청 금액'!$A:$C,3,0)</f>
        <v>1227191</v>
      </c>
      <c r="M81" s="16">
        <f>VLOOKUP(B81,'국세청 금액'!A:D,4,0)</f>
        <v>0</v>
      </c>
      <c r="N81" s="17">
        <f t="shared" si="11"/>
        <v>12133008</v>
      </c>
      <c r="O81" s="17">
        <f t="shared" si="12"/>
        <v>1213301</v>
      </c>
      <c r="P81" s="17">
        <f t="shared" si="13"/>
        <v>0</v>
      </c>
      <c r="Q81" s="4" t="b">
        <f t="shared" si="14"/>
        <v>1</v>
      </c>
      <c r="R81" s="4" t="b">
        <f t="shared" si="15"/>
        <v>0</v>
      </c>
    </row>
    <row r="82" spans="2:18" x14ac:dyDescent="0.25">
      <c r="B82" s="15" t="s">
        <v>158</v>
      </c>
      <c r="C82" s="15" t="s">
        <v>159</v>
      </c>
      <c r="D82" s="15" t="s">
        <v>440</v>
      </c>
      <c r="E82" s="4" t="str">
        <f t="shared" si="8"/>
        <v>616</v>
      </c>
      <c r="F82" s="4" t="str">
        <f t="shared" si="9"/>
        <v>85</v>
      </c>
      <c r="G82" s="4" t="str">
        <f t="shared" si="10"/>
        <v>35844</v>
      </c>
      <c r="H82" s="16">
        <f>IFERROR(VLOOKUP($B82,'SAP 금액'!$A:$C,2,0),0)</f>
        <v>26110962</v>
      </c>
      <c r="I82" s="16">
        <f>IFERROR(VLOOKUP($B82,'SAP 금액'!$A:$C,3,0),0)</f>
        <v>2611096</v>
      </c>
      <c r="J82" s="16">
        <f>IFERROR(VLOOKUP(B82,'SAP 금액'!E:F,2,0),0)</f>
        <v>0</v>
      </c>
      <c r="K82" s="16">
        <f>VLOOKUP($B82,'국세청 금액'!$A:$C,2,0)</f>
        <v>26110962</v>
      </c>
      <c r="L82" s="16">
        <f>VLOOKUP($B82,'국세청 금액'!$A:$C,3,0)</f>
        <v>2611096</v>
      </c>
      <c r="M82" s="16">
        <f>VLOOKUP(B82,'국세청 금액'!A:D,4,0)</f>
        <v>0</v>
      </c>
      <c r="N82" s="17">
        <f t="shared" si="11"/>
        <v>0</v>
      </c>
      <c r="O82" s="17">
        <f t="shared" si="12"/>
        <v>0</v>
      </c>
      <c r="P82" s="17">
        <f t="shared" si="13"/>
        <v>0</v>
      </c>
      <c r="Q82" s="4" t="b">
        <f t="shared" si="14"/>
        <v>0</v>
      </c>
      <c r="R82" s="4" t="b">
        <f t="shared" si="15"/>
        <v>0</v>
      </c>
    </row>
    <row r="83" spans="2:18" x14ac:dyDescent="0.25">
      <c r="B83" s="15" t="s">
        <v>160</v>
      </c>
      <c r="C83" s="15" t="s">
        <v>161</v>
      </c>
      <c r="D83" s="15" t="s">
        <v>441</v>
      </c>
      <c r="E83" s="4" t="str">
        <f t="shared" si="8"/>
        <v>753</v>
      </c>
      <c r="F83" s="4" t="str">
        <f t="shared" si="9"/>
        <v>85</v>
      </c>
      <c r="G83" s="4" t="str">
        <f t="shared" si="10"/>
        <v>00019</v>
      </c>
      <c r="H83" s="16">
        <f>IFERROR(VLOOKUP($B83,'SAP 금액'!$A:$C,2,0),0)</f>
        <v>41216229</v>
      </c>
      <c r="I83" s="16">
        <f>IFERROR(VLOOKUP($B83,'SAP 금액'!$A:$C,3,0),0)</f>
        <v>4121623</v>
      </c>
      <c r="J83" s="16">
        <f>IFERROR(VLOOKUP(B83,'SAP 금액'!E:F,2,0),0)</f>
        <v>0</v>
      </c>
      <c r="K83" s="16">
        <f>VLOOKUP($B83,'국세청 금액'!$A:$C,2,0)</f>
        <v>41216229</v>
      </c>
      <c r="L83" s="16">
        <f>VLOOKUP($B83,'국세청 금액'!$A:$C,3,0)</f>
        <v>4121623</v>
      </c>
      <c r="M83" s="16">
        <f>VLOOKUP(B83,'국세청 금액'!A:D,4,0)</f>
        <v>0</v>
      </c>
      <c r="N83" s="17">
        <f t="shared" si="11"/>
        <v>0</v>
      </c>
      <c r="O83" s="17">
        <f t="shared" si="12"/>
        <v>0</v>
      </c>
      <c r="P83" s="17">
        <f t="shared" si="13"/>
        <v>0</v>
      </c>
      <c r="Q83" s="4" t="b">
        <f t="shared" si="14"/>
        <v>0</v>
      </c>
      <c r="R83" s="4" t="b">
        <f t="shared" si="15"/>
        <v>0</v>
      </c>
    </row>
    <row r="84" spans="2:18" x14ac:dyDescent="0.25">
      <c r="B84" s="15" t="s">
        <v>162</v>
      </c>
      <c r="C84" s="15" t="s">
        <v>163</v>
      </c>
      <c r="D84" s="15" t="s">
        <v>442</v>
      </c>
      <c r="E84" s="4" t="str">
        <f t="shared" si="8"/>
        <v>479</v>
      </c>
      <c r="F84" s="4" t="str">
        <f t="shared" si="9"/>
        <v>85</v>
      </c>
      <c r="G84" s="4" t="str">
        <f t="shared" si="10"/>
        <v>00014</v>
      </c>
      <c r="H84" s="16">
        <f>IFERROR(VLOOKUP($B84,'SAP 금액'!$A:$C,2,0),0)</f>
        <v>25584737</v>
      </c>
      <c r="I84" s="16">
        <f>IFERROR(VLOOKUP($B84,'SAP 금액'!$A:$C,3,0),0)</f>
        <v>2558473</v>
      </c>
      <c r="J84" s="16">
        <f>IFERROR(VLOOKUP(B84,'SAP 금액'!E:F,2,0),0)</f>
        <v>122460</v>
      </c>
      <c r="K84" s="16">
        <f>VLOOKUP($B84,'국세청 금액'!$A:$C,2,0)</f>
        <v>25584737</v>
      </c>
      <c r="L84" s="16">
        <f>VLOOKUP($B84,'국세청 금액'!$A:$C,3,0)</f>
        <v>2558473</v>
      </c>
      <c r="M84" s="16">
        <f>VLOOKUP(B84,'국세청 금액'!A:D,4,0)</f>
        <v>122460</v>
      </c>
      <c r="N84" s="17">
        <f t="shared" si="11"/>
        <v>0</v>
      </c>
      <c r="O84" s="17">
        <f t="shared" si="12"/>
        <v>0</v>
      </c>
      <c r="P84" s="17">
        <f t="shared" si="13"/>
        <v>0</v>
      </c>
      <c r="Q84" s="4" t="b">
        <f t="shared" si="14"/>
        <v>0</v>
      </c>
      <c r="R84" s="4" t="b">
        <f t="shared" si="15"/>
        <v>0</v>
      </c>
    </row>
    <row r="85" spans="2:18" x14ac:dyDescent="0.25">
      <c r="B85" s="15" t="s">
        <v>164</v>
      </c>
      <c r="C85" s="15" t="s">
        <v>165</v>
      </c>
      <c r="D85" s="15" t="s">
        <v>443</v>
      </c>
      <c r="E85" s="4" t="str">
        <f t="shared" si="8"/>
        <v>357</v>
      </c>
      <c r="F85" s="4" t="str">
        <f t="shared" si="9"/>
        <v>85</v>
      </c>
      <c r="G85" s="4" t="str">
        <f t="shared" si="10"/>
        <v>00048</v>
      </c>
      <c r="H85" s="16">
        <f>IFERROR(VLOOKUP($B85,'SAP 금액'!$A:$C,2,0),0)</f>
        <v>147050521</v>
      </c>
      <c r="I85" s="16">
        <f>IFERROR(VLOOKUP($B85,'SAP 금액'!$A:$C,3,0),0)</f>
        <v>14705038</v>
      </c>
      <c r="J85" s="16">
        <f>IFERROR(VLOOKUP(B85,'SAP 금액'!E:F,2,0),0)</f>
        <v>0</v>
      </c>
      <c r="K85" s="16">
        <f>VLOOKUP($B85,'국세청 금액'!$A:$C,2,0)</f>
        <v>147050521</v>
      </c>
      <c r="L85" s="16">
        <f>VLOOKUP($B85,'국세청 금액'!$A:$C,3,0)</f>
        <v>14705038</v>
      </c>
      <c r="M85" s="16">
        <f>VLOOKUP(B85,'국세청 금액'!A:D,4,0)</f>
        <v>0</v>
      </c>
      <c r="N85" s="17">
        <f t="shared" si="11"/>
        <v>0</v>
      </c>
      <c r="O85" s="17">
        <f t="shared" si="12"/>
        <v>0</v>
      </c>
      <c r="P85" s="17">
        <f t="shared" si="13"/>
        <v>0</v>
      </c>
      <c r="Q85" s="4" t="b">
        <f t="shared" si="14"/>
        <v>0</v>
      </c>
      <c r="R85" s="4" t="b">
        <f t="shared" si="15"/>
        <v>0</v>
      </c>
    </row>
    <row r="86" spans="2:18" x14ac:dyDescent="0.25">
      <c r="B86" s="15" t="s">
        <v>166</v>
      </c>
      <c r="C86" s="15" t="s">
        <v>167</v>
      </c>
      <c r="D86" s="15" t="s">
        <v>444</v>
      </c>
      <c r="E86" s="4" t="str">
        <f t="shared" si="8"/>
        <v>169</v>
      </c>
      <c r="F86" s="4" t="str">
        <f t="shared" si="9"/>
        <v>85</v>
      </c>
      <c r="G86" s="4" t="str">
        <f t="shared" si="10"/>
        <v>00081</v>
      </c>
      <c r="H86" s="16">
        <f>IFERROR(VLOOKUP($B86,'SAP 금액'!$A:$C,2,0),0)</f>
        <v>0</v>
      </c>
      <c r="I86" s="16">
        <f>IFERROR(VLOOKUP($B86,'SAP 금액'!$A:$C,3,0),0)</f>
        <v>0</v>
      </c>
      <c r="J86" s="16">
        <f>IFERROR(VLOOKUP(B86,'SAP 금액'!E:F,2,0),0)</f>
        <v>0</v>
      </c>
      <c r="K86" s="16">
        <f>VLOOKUP($B86,'국세청 금액'!$A:$C,2,0)</f>
        <v>0</v>
      </c>
      <c r="L86" s="16">
        <f>VLOOKUP($B86,'국세청 금액'!$A:$C,3,0)</f>
        <v>0</v>
      </c>
      <c r="M86" s="16">
        <f>VLOOKUP(B86,'국세청 금액'!A:D,4,0)</f>
        <v>0</v>
      </c>
      <c r="N86" s="17">
        <f t="shared" si="11"/>
        <v>0</v>
      </c>
      <c r="O86" s="17">
        <f t="shared" si="12"/>
        <v>0</v>
      </c>
      <c r="P86" s="17">
        <f t="shared" si="13"/>
        <v>0</v>
      </c>
      <c r="Q86" s="4" t="b">
        <f t="shared" si="14"/>
        <v>0</v>
      </c>
      <c r="R86" s="4" t="b">
        <f t="shared" si="15"/>
        <v>0</v>
      </c>
    </row>
    <row r="87" spans="2:18" x14ac:dyDescent="0.25">
      <c r="B87" s="15" t="s">
        <v>168</v>
      </c>
      <c r="C87" s="15" t="s">
        <v>169</v>
      </c>
      <c r="D87" s="15" t="s">
        <v>445</v>
      </c>
      <c r="E87" s="4" t="str">
        <f t="shared" si="8"/>
        <v>583</v>
      </c>
      <c r="F87" s="4" t="str">
        <f t="shared" si="9"/>
        <v>85</v>
      </c>
      <c r="G87" s="4" t="str">
        <f t="shared" si="10"/>
        <v>00119</v>
      </c>
      <c r="H87" s="16">
        <f>IFERROR(VLOOKUP($B87,'SAP 금액'!$A:$C,2,0),0)</f>
        <v>121017</v>
      </c>
      <c r="I87" s="16">
        <f>IFERROR(VLOOKUP($B87,'SAP 금액'!$A:$C,3,0),0)</f>
        <v>12101</v>
      </c>
      <c r="J87" s="16">
        <f>IFERROR(VLOOKUP(B87,'SAP 금액'!E:F,2,0),0)</f>
        <v>0</v>
      </c>
      <c r="K87" s="16">
        <f>VLOOKUP($B87,'국세청 금액'!$A:$C,2,0)</f>
        <v>121017</v>
      </c>
      <c r="L87" s="16">
        <f>VLOOKUP($B87,'국세청 금액'!$A:$C,3,0)</f>
        <v>12101</v>
      </c>
      <c r="M87" s="16">
        <f>VLOOKUP(B87,'국세청 금액'!A:D,4,0)</f>
        <v>0</v>
      </c>
      <c r="N87" s="17">
        <f t="shared" si="11"/>
        <v>0</v>
      </c>
      <c r="O87" s="17">
        <f t="shared" si="12"/>
        <v>0</v>
      </c>
      <c r="P87" s="17">
        <f t="shared" si="13"/>
        <v>0</v>
      </c>
      <c r="Q87" s="4" t="b">
        <f t="shared" si="14"/>
        <v>0</v>
      </c>
      <c r="R87" s="4" t="b">
        <f t="shared" si="15"/>
        <v>0</v>
      </c>
    </row>
    <row r="88" spans="2:18" x14ac:dyDescent="0.25">
      <c r="B88" s="15" t="s">
        <v>170</v>
      </c>
      <c r="C88" s="15" t="s">
        <v>171</v>
      </c>
      <c r="D88" s="15" t="s">
        <v>446</v>
      </c>
      <c r="E88" s="4" t="str">
        <f t="shared" si="8"/>
        <v>739</v>
      </c>
      <c r="F88" s="4" t="str">
        <f t="shared" si="9"/>
        <v>85</v>
      </c>
      <c r="G88" s="4" t="str">
        <f t="shared" si="10"/>
        <v>00084</v>
      </c>
      <c r="H88" s="16">
        <f>IFERROR(VLOOKUP($B88,'SAP 금액'!$A:$C,2,0),0)</f>
        <v>19063860</v>
      </c>
      <c r="I88" s="16">
        <f>IFERROR(VLOOKUP($B88,'SAP 금액'!$A:$C,3,0),0)</f>
        <v>1906380</v>
      </c>
      <c r="J88" s="16">
        <f>IFERROR(VLOOKUP(B88,'SAP 금액'!E:F,2,0),0)</f>
        <v>218790</v>
      </c>
      <c r="K88" s="16">
        <f>VLOOKUP($B88,'국세청 금액'!$A:$C,2,0)</f>
        <v>19063860</v>
      </c>
      <c r="L88" s="16">
        <f>VLOOKUP($B88,'국세청 금액'!$A:$C,3,0)</f>
        <v>1906380</v>
      </c>
      <c r="M88" s="16">
        <f>VLOOKUP(B88,'국세청 금액'!A:D,4,0)</f>
        <v>218790</v>
      </c>
      <c r="N88" s="17">
        <f t="shared" si="11"/>
        <v>0</v>
      </c>
      <c r="O88" s="17">
        <f t="shared" si="12"/>
        <v>0</v>
      </c>
      <c r="P88" s="17">
        <f t="shared" si="13"/>
        <v>0</v>
      </c>
      <c r="Q88" s="4" t="b">
        <f t="shared" si="14"/>
        <v>0</v>
      </c>
      <c r="R88" s="4" t="b">
        <f t="shared" si="15"/>
        <v>0</v>
      </c>
    </row>
    <row r="89" spans="2:18" x14ac:dyDescent="0.25">
      <c r="B89" s="15" t="s">
        <v>172</v>
      </c>
      <c r="C89" s="15" t="s">
        <v>173</v>
      </c>
      <c r="D89" s="15" t="s">
        <v>447</v>
      </c>
      <c r="E89" s="4" t="str">
        <f t="shared" si="8"/>
        <v>249</v>
      </c>
      <c r="F89" s="4" t="str">
        <f t="shared" si="9"/>
        <v>85</v>
      </c>
      <c r="G89" s="4" t="str">
        <f t="shared" si="10"/>
        <v>00086</v>
      </c>
      <c r="H89" s="16">
        <f>IFERROR(VLOOKUP($B89,'SAP 금액'!$A:$C,2,0),0)</f>
        <v>406852066</v>
      </c>
      <c r="I89" s="16">
        <f>IFERROR(VLOOKUP($B89,'SAP 금액'!$A:$C,3,0),0)</f>
        <v>40685206</v>
      </c>
      <c r="J89" s="16">
        <f>IFERROR(VLOOKUP(B89,'SAP 금액'!E:F,2,0),0)</f>
        <v>17808511</v>
      </c>
      <c r="K89" s="16">
        <f>VLOOKUP($B89,'국세청 금액'!$A:$C,2,0)</f>
        <v>406852066</v>
      </c>
      <c r="L89" s="16">
        <f>VLOOKUP($B89,'국세청 금액'!$A:$C,3,0)</f>
        <v>40685206</v>
      </c>
      <c r="M89" s="16">
        <f>VLOOKUP(B89,'국세청 금액'!A:D,4,0)</f>
        <v>17808511</v>
      </c>
      <c r="N89" s="17">
        <f t="shared" si="11"/>
        <v>0</v>
      </c>
      <c r="O89" s="17">
        <f t="shared" si="12"/>
        <v>0</v>
      </c>
      <c r="P89" s="17">
        <f t="shared" si="13"/>
        <v>0</v>
      </c>
      <c r="Q89" s="4" t="b">
        <f t="shared" si="14"/>
        <v>0</v>
      </c>
      <c r="R89" s="4" t="b">
        <f t="shared" si="15"/>
        <v>0</v>
      </c>
    </row>
    <row r="90" spans="2:18" x14ac:dyDescent="0.25">
      <c r="B90" s="15" t="s">
        <v>174</v>
      </c>
      <c r="C90" s="15" t="s">
        <v>175</v>
      </c>
      <c r="D90" s="15" t="s">
        <v>448</v>
      </c>
      <c r="E90" s="4" t="str">
        <f t="shared" si="8"/>
        <v>646</v>
      </c>
      <c r="F90" s="4" t="str">
        <f t="shared" si="9"/>
        <v>85</v>
      </c>
      <c r="G90" s="4" t="str">
        <f t="shared" si="10"/>
        <v>00083</v>
      </c>
      <c r="H90" s="16">
        <f>IFERROR(VLOOKUP($B90,'SAP 금액'!$A:$C,2,0),0)</f>
        <v>6263020</v>
      </c>
      <c r="I90" s="16">
        <f>IFERROR(VLOOKUP($B90,'SAP 금액'!$A:$C,3,0),0)</f>
        <v>626308</v>
      </c>
      <c r="J90" s="16">
        <f>IFERROR(VLOOKUP(B90,'SAP 금액'!E:F,2,0),0)</f>
        <v>88880</v>
      </c>
      <c r="K90" s="16">
        <f>VLOOKUP($B90,'국세청 금액'!$A:$C,2,0)</f>
        <v>6263020</v>
      </c>
      <c r="L90" s="16">
        <f>VLOOKUP($B90,'국세청 금액'!$A:$C,3,0)</f>
        <v>626308</v>
      </c>
      <c r="M90" s="16">
        <f>VLOOKUP(B90,'국세청 금액'!A:D,4,0)</f>
        <v>88880</v>
      </c>
      <c r="N90" s="17">
        <f t="shared" si="11"/>
        <v>0</v>
      </c>
      <c r="O90" s="17">
        <f t="shared" si="12"/>
        <v>0</v>
      </c>
      <c r="P90" s="17">
        <f t="shared" si="13"/>
        <v>0</v>
      </c>
      <c r="Q90" s="4" t="b">
        <f t="shared" si="14"/>
        <v>0</v>
      </c>
      <c r="R90" s="4" t="b">
        <f t="shared" si="15"/>
        <v>0</v>
      </c>
    </row>
    <row r="91" spans="2:18" x14ac:dyDescent="0.25">
      <c r="B91" s="15" t="s">
        <v>176</v>
      </c>
      <c r="C91" s="15" t="s">
        <v>177</v>
      </c>
      <c r="D91" s="15" t="s">
        <v>449</v>
      </c>
      <c r="E91" s="4" t="str">
        <f t="shared" si="8"/>
        <v>618</v>
      </c>
      <c r="F91" s="4" t="str">
        <f t="shared" si="9"/>
        <v>85</v>
      </c>
      <c r="G91" s="4" t="str">
        <f t="shared" si="10"/>
        <v>11343</v>
      </c>
      <c r="H91" s="16">
        <f>IFERROR(VLOOKUP($B91,'SAP 금액'!$A:$C,2,0),0)</f>
        <v>133301</v>
      </c>
      <c r="I91" s="16">
        <f>IFERROR(VLOOKUP($B91,'SAP 금액'!$A:$C,3,0),0)</f>
        <v>13330</v>
      </c>
      <c r="J91" s="16">
        <f>IFERROR(VLOOKUP(B91,'SAP 금액'!E:F,2,0),0)</f>
        <v>0</v>
      </c>
      <c r="K91" s="16">
        <f>VLOOKUP($B91,'국세청 금액'!$A:$C,2,0)</f>
        <v>30849672</v>
      </c>
      <c r="L91" s="16">
        <f>VLOOKUP($B91,'국세청 금액'!$A:$C,3,0)</f>
        <v>3084968</v>
      </c>
      <c r="M91" s="16">
        <f>VLOOKUP(B91,'국세청 금액'!A:D,4,0)</f>
        <v>0</v>
      </c>
      <c r="N91" s="17">
        <f t="shared" si="11"/>
        <v>30716371</v>
      </c>
      <c r="O91" s="17">
        <f t="shared" si="12"/>
        <v>3071638</v>
      </c>
      <c r="P91" s="17">
        <f t="shared" si="13"/>
        <v>0</v>
      </c>
      <c r="Q91" s="4" t="b">
        <f t="shared" si="14"/>
        <v>1</v>
      </c>
      <c r="R91" s="4" t="b">
        <f t="shared" si="15"/>
        <v>0</v>
      </c>
    </row>
    <row r="92" spans="2:18" x14ac:dyDescent="0.25">
      <c r="B92" s="15" t="s">
        <v>178</v>
      </c>
      <c r="C92" s="15" t="s">
        <v>179</v>
      </c>
      <c r="D92" s="15" t="s">
        <v>450</v>
      </c>
      <c r="E92" s="4" t="str">
        <f t="shared" si="8"/>
        <v>548</v>
      </c>
      <c r="F92" s="4" t="str">
        <f t="shared" si="9"/>
        <v>85</v>
      </c>
      <c r="G92" s="4" t="str">
        <f t="shared" si="10"/>
        <v>00192</v>
      </c>
      <c r="H92" s="16">
        <f>IFERROR(VLOOKUP($B92,'SAP 금액'!$A:$C,2,0),0)</f>
        <v>579639827</v>
      </c>
      <c r="I92" s="16">
        <f>IFERROR(VLOOKUP($B92,'SAP 금액'!$A:$C,3,0),0)</f>
        <v>57963987</v>
      </c>
      <c r="J92" s="16">
        <f>IFERROR(VLOOKUP(B92,'SAP 금액'!E:F,2,0),0)</f>
        <v>635750</v>
      </c>
      <c r="K92" s="16">
        <f>VLOOKUP($B92,'국세청 금액'!$A:$C,2,0)</f>
        <v>579640139</v>
      </c>
      <c r="L92" s="16">
        <f>VLOOKUP($B92,'국세청 금액'!$A:$C,3,0)</f>
        <v>57964018</v>
      </c>
      <c r="M92" s="16">
        <f>VLOOKUP(B92,'국세청 금액'!A:D,4,0)</f>
        <v>635750</v>
      </c>
      <c r="N92" s="17">
        <f t="shared" si="11"/>
        <v>312</v>
      </c>
      <c r="O92" s="17">
        <f t="shared" si="12"/>
        <v>31</v>
      </c>
      <c r="P92" s="17">
        <f t="shared" si="13"/>
        <v>0</v>
      </c>
      <c r="Q92" s="4" t="b">
        <f t="shared" si="14"/>
        <v>1</v>
      </c>
      <c r="R92" s="4" t="b">
        <f t="shared" si="15"/>
        <v>0</v>
      </c>
    </row>
    <row r="93" spans="2:18" x14ac:dyDescent="0.25">
      <c r="B93" s="15" t="s">
        <v>180</v>
      </c>
      <c r="C93" s="15" t="s">
        <v>181</v>
      </c>
      <c r="D93" s="15" t="s">
        <v>451</v>
      </c>
      <c r="E93" s="4" t="str">
        <f t="shared" si="8"/>
        <v>410</v>
      </c>
      <c r="F93" s="4" t="str">
        <f t="shared" si="9"/>
        <v>85</v>
      </c>
      <c r="G93" s="4" t="str">
        <f t="shared" si="10"/>
        <v>51362</v>
      </c>
      <c r="H93" s="16">
        <f>IFERROR(VLOOKUP($B93,'SAP 금액'!$A:$C,2,0),0)</f>
        <v>945494</v>
      </c>
      <c r="I93" s="16">
        <f>IFERROR(VLOOKUP($B93,'SAP 금액'!$A:$C,3,0),0)</f>
        <v>94550</v>
      </c>
      <c r="J93" s="16">
        <f>IFERROR(VLOOKUP(B93,'SAP 금액'!E:F,2,0),0)</f>
        <v>31540</v>
      </c>
      <c r="K93" s="16">
        <f>VLOOKUP($B93,'국세청 금액'!$A:$C,2,0)</f>
        <v>15595342</v>
      </c>
      <c r="L93" s="16">
        <f>VLOOKUP($B93,'국세청 금액'!$A:$C,3,0)</f>
        <v>1559534</v>
      </c>
      <c r="M93" s="16">
        <f>VLOOKUP(B93,'국세청 금액'!A:D,4,0)</f>
        <v>31540</v>
      </c>
      <c r="N93" s="17">
        <f t="shared" si="11"/>
        <v>14649848</v>
      </c>
      <c r="O93" s="17">
        <f t="shared" si="12"/>
        <v>1464984</v>
      </c>
      <c r="P93" s="17">
        <f t="shared" si="13"/>
        <v>0</v>
      </c>
      <c r="Q93" s="4" t="b">
        <f t="shared" si="14"/>
        <v>1</v>
      </c>
      <c r="R93" s="4" t="b">
        <f t="shared" si="15"/>
        <v>0</v>
      </c>
    </row>
    <row r="94" spans="2:18" x14ac:dyDescent="0.25">
      <c r="B94" s="15" t="s">
        <v>182</v>
      </c>
      <c r="C94" s="15" t="s">
        <v>183</v>
      </c>
      <c r="D94" s="15" t="s">
        <v>452</v>
      </c>
      <c r="E94" s="4" t="str">
        <f t="shared" si="8"/>
        <v>483</v>
      </c>
      <c r="F94" s="4" t="str">
        <f t="shared" si="9"/>
        <v>85</v>
      </c>
      <c r="G94" s="4" t="str">
        <f t="shared" si="10"/>
        <v>00139</v>
      </c>
      <c r="H94" s="16">
        <f>IFERROR(VLOOKUP($B94,'SAP 금액'!$A:$C,2,0),0)</f>
        <v>33908176</v>
      </c>
      <c r="I94" s="16">
        <f>IFERROR(VLOOKUP($B94,'SAP 금액'!$A:$C,3,0),0)</f>
        <v>3390818</v>
      </c>
      <c r="J94" s="16">
        <f>IFERROR(VLOOKUP(B94,'SAP 금액'!E:F,2,0),0)</f>
        <v>0</v>
      </c>
      <c r="K94" s="16">
        <f>VLOOKUP($B94,'국세청 금액'!$A:$C,2,0)</f>
        <v>35182986</v>
      </c>
      <c r="L94" s="16">
        <f>VLOOKUP($B94,'국세청 금액'!$A:$C,3,0)</f>
        <v>3518301</v>
      </c>
      <c r="M94" s="16">
        <f>VLOOKUP(B94,'국세청 금액'!A:D,4,0)</f>
        <v>0</v>
      </c>
      <c r="N94" s="17">
        <f t="shared" si="11"/>
        <v>1274810</v>
      </c>
      <c r="O94" s="17">
        <f t="shared" si="12"/>
        <v>127483</v>
      </c>
      <c r="P94" s="17">
        <f t="shared" si="13"/>
        <v>0</v>
      </c>
      <c r="Q94" s="4" t="b">
        <f t="shared" si="14"/>
        <v>1</v>
      </c>
      <c r="R94" s="4" t="b">
        <f t="shared" si="15"/>
        <v>0</v>
      </c>
    </row>
    <row r="95" spans="2:18" x14ac:dyDescent="0.25">
      <c r="B95" s="15" t="s">
        <v>184</v>
      </c>
      <c r="C95" s="15" t="s">
        <v>185</v>
      </c>
      <c r="D95" s="15" t="s">
        <v>453</v>
      </c>
      <c r="E95" s="4" t="str">
        <f t="shared" si="8"/>
        <v>608</v>
      </c>
      <c r="F95" s="4" t="str">
        <f t="shared" si="9"/>
        <v>85</v>
      </c>
      <c r="G95" s="4" t="str">
        <f t="shared" si="10"/>
        <v>36880</v>
      </c>
      <c r="H95" s="16">
        <f>IFERROR(VLOOKUP($B95,'SAP 금액'!$A:$C,2,0),0)</f>
        <v>117795390</v>
      </c>
      <c r="I95" s="16">
        <f>IFERROR(VLOOKUP($B95,'SAP 금액'!$A:$C,3,0),0)</f>
        <v>11779539</v>
      </c>
      <c r="J95" s="16">
        <f>IFERROR(VLOOKUP(B95,'SAP 금액'!E:F,2,0),0)</f>
        <v>0</v>
      </c>
      <c r="K95" s="16">
        <f>VLOOKUP($B95,'국세청 금액'!$A:$C,2,0)</f>
        <v>117795390</v>
      </c>
      <c r="L95" s="16">
        <f>VLOOKUP($B95,'국세청 금액'!$A:$C,3,0)</f>
        <v>11779539</v>
      </c>
      <c r="M95" s="16">
        <f>VLOOKUP(B95,'국세청 금액'!A:D,4,0)</f>
        <v>0</v>
      </c>
      <c r="N95" s="17">
        <f t="shared" si="11"/>
        <v>0</v>
      </c>
      <c r="O95" s="17">
        <f t="shared" si="12"/>
        <v>0</v>
      </c>
      <c r="P95" s="17">
        <f t="shared" si="13"/>
        <v>0</v>
      </c>
      <c r="Q95" s="4" t="b">
        <f t="shared" si="14"/>
        <v>0</v>
      </c>
      <c r="R95" s="4" t="b">
        <f t="shared" si="15"/>
        <v>0</v>
      </c>
    </row>
    <row r="96" spans="2:18" x14ac:dyDescent="0.25">
      <c r="B96" s="15" t="s">
        <v>186</v>
      </c>
      <c r="C96" s="15" t="s">
        <v>187</v>
      </c>
      <c r="D96" s="15" t="s">
        <v>454</v>
      </c>
      <c r="E96" s="4" t="str">
        <f t="shared" si="8"/>
        <v>411</v>
      </c>
      <c r="F96" s="4" t="str">
        <f t="shared" si="9"/>
        <v>85</v>
      </c>
      <c r="G96" s="4" t="str">
        <f t="shared" si="10"/>
        <v>21672</v>
      </c>
      <c r="H96" s="16">
        <f>IFERROR(VLOOKUP($B96,'SAP 금액'!$A:$C,2,0),0)</f>
        <v>283325525</v>
      </c>
      <c r="I96" s="16">
        <f>IFERROR(VLOOKUP($B96,'SAP 금액'!$A:$C,3,0),0)</f>
        <v>28332553</v>
      </c>
      <c r="J96" s="16">
        <f>IFERROR(VLOOKUP(B96,'SAP 금액'!E:F,2,0),0)</f>
        <v>0</v>
      </c>
      <c r="K96" s="16">
        <f>VLOOKUP($B96,'국세청 금액'!$A:$C,2,0)</f>
        <v>283325525</v>
      </c>
      <c r="L96" s="16">
        <f>VLOOKUP($B96,'국세청 금액'!$A:$C,3,0)</f>
        <v>28332553</v>
      </c>
      <c r="M96" s="16">
        <f>VLOOKUP(B96,'국세청 금액'!A:D,4,0)</f>
        <v>0</v>
      </c>
      <c r="N96" s="17">
        <f t="shared" si="11"/>
        <v>0</v>
      </c>
      <c r="O96" s="17">
        <f t="shared" si="12"/>
        <v>0</v>
      </c>
      <c r="P96" s="17">
        <f t="shared" si="13"/>
        <v>0</v>
      </c>
      <c r="Q96" s="4" t="b">
        <f t="shared" si="14"/>
        <v>0</v>
      </c>
      <c r="R96" s="4" t="b">
        <f t="shared" si="15"/>
        <v>0</v>
      </c>
    </row>
    <row r="97" spans="2:18" x14ac:dyDescent="0.25">
      <c r="B97" s="15" t="s">
        <v>188</v>
      </c>
      <c r="C97" s="15" t="s">
        <v>189</v>
      </c>
      <c r="D97" s="15" t="s">
        <v>455</v>
      </c>
      <c r="E97" s="4" t="str">
        <f t="shared" si="8"/>
        <v>704</v>
      </c>
      <c r="F97" s="4" t="str">
        <f t="shared" si="9"/>
        <v>85</v>
      </c>
      <c r="G97" s="4" t="str">
        <f t="shared" si="10"/>
        <v>00278</v>
      </c>
      <c r="H97" s="16">
        <f>IFERROR(VLOOKUP($B97,'SAP 금액'!$A:$C,2,0),0)</f>
        <v>52920733</v>
      </c>
      <c r="I97" s="16">
        <f>IFERROR(VLOOKUP($B97,'SAP 금액'!$A:$C,3,0),0)</f>
        <v>5292073</v>
      </c>
      <c r="J97" s="16">
        <f>IFERROR(VLOOKUP(B97,'SAP 금액'!E:F,2,0),0)</f>
        <v>0</v>
      </c>
      <c r="K97" s="16">
        <f>VLOOKUP($B97,'국세청 금액'!$A:$C,2,0)</f>
        <v>52920733</v>
      </c>
      <c r="L97" s="16">
        <f>VLOOKUP($B97,'국세청 금액'!$A:$C,3,0)</f>
        <v>5292073</v>
      </c>
      <c r="M97" s="16">
        <f>VLOOKUP(B97,'국세청 금액'!A:D,4,0)</f>
        <v>0</v>
      </c>
      <c r="N97" s="17">
        <f t="shared" si="11"/>
        <v>0</v>
      </c>
      <c r="O97" s="17">
        <f t="shared" si="12"/>
        <v>0</v>
      </c>
      <c r="P97" s="17">
        <f t="shared" si="13"/>
        <v>0</v>
      </c>
      <c r="Q97" s="4" t="b">
        <f t="shared" si="14"/>
        <v>0</v>
      </c>
      <c r="R97" s="4" t="b">
        <f t="shared" si="15"/>
        <v>0</v>
      </c>
    </row>
    <row r="98" spans="2:18" x14ac:dyDescent="0.25">
      <c r="B98" s="15" t="s">
        <v>190</v>
      </c>
      <c r="C98" s="15" t="s">
        <v>191</v>
      </c>
      <c r="D98" s="15" t="s">
        <v>456</v>
      </c>
      <c r="E98" s="4" t="str">
        <f t="shared" si="8"/>
        <v>385</v>
      </c>
      <c r="F98" s="4" t="str">
        <f t="shared" si="9"/>
        <v>85</v>
      </c>
      <c r="G98" s="4" t="str">
        <f t="shared" si="10"/>
        <v>00247</v>
      </c>
      <c r="H98" s="16">
        <f>IFERROR(VLOOKUP($B98,'SAP 금액'!$A:$C,2,0),0)</f>
        <v>6796996</v>
      </c>
      <c r="I98" s="16">
        <f>IFERROR(VLOOKUP($B98,'SAP 금액'!$A:$C,3,0),0)</f>
        <v>679697</v>
      </c>
      <c r="J98" s="16">
        <f>IFERROR(VLOOKUP(B98,'SAP 금액'!E:F,2,0),0)</f>
        <v>753023</v>
      </c>
      <c r="K98" s="16">
        <f>VLOOKUP($B98,'국세청 금액'!$A:$C,2,0)</f>
        <v>6796996</v>
      </c>
      <c r="L98" s="16">
        <f>VLOOKUP($B98,'국세청 금액'!$A:$C,3,0)</f>
        <v>679697</v>
      </c>
      <c r="M98" s="16">
        <f>VLOOKUP(B98,'국세청 금액'!A:D,4,0)</f>
        <v>753023</v>
      </c>
      <c r="N98" s="17">
        <f t="shared" si="11"/>
        <v>0</v>
      </c>
      <c r="O98" s="17">
        <f t="shared" si="12"/>
        <v>0</v>
      </c>
      <c r="P98" s="17">
        <f t="shared" si="13"/>
        <v>0</v>
      </c>
      <c r="Q98" s="4" t="b">
        <f t="shared" si="14"/>
        <v>0</v>
      </c>
      <c r="R98" s="4" t="b">
        <f t="shared" si="15"/>
        <v>0</v>
      </c>
    </row>
    <row r="99" spans="2:18" x14ac:dyDescent="0.25">
      <c r="B99" s="15" t="s">
        <v>192</v>
      </c>
      <c r="C99" s="15" t="s">
        <v>193</v>
      </c>
      <c r="D99" s="15" t="s">
        <v>457</v>
      </c>
      <c r="E99" s="4" t="str">
        <f t="shared" si="8"/>
        <v>360</v>
      </c>
      <c r="F99" s="4" t="str">
        <f t="shared" si="9"/>
        <v>85</v>
      </c>
      <c r="G99" s="4" t="str">
        <f t="shared" si="10"/>
        <v>00326</v>
      </c>
      <c r="H99" s="16">
        <f>IFERROR(VLOOKUP($B99,'SAP 금액'!$A:$C,2,0),0)</f>
        <v>0</v>
      </c>
      <c r="I99" s="16">
        <f>IFERROR(VLOOKUP($B99,'SAP 금액'!$A:$C,3,0),0)</f>
        <v>0</v>
      </c>
      <c r="J99" s="16">
        <f>IFERROR(VLOOKUP(B99,'SAP 금액'!E:F,2,0),0)</f>
        <v>0</v>
      </c>
      <c r="K99" s="16">
        <f>VLOOKUP($B99,'국세청 금액'!$A:$C,2,0)</f>
        <v>0</v>
      </c>
      <c r="L99" s="16">
        <f>VLOOKUP($B99,'국세청 금액'!$A:$C,3,0)</f>
        <v>0</v>
      </c>
      <c r="M99" s="16">
        <f>VLOOKUP(B99,'국세청 금액'!A:D,4,0)</f>
        <v>0</v>
      </c>
      <c r="N99" s="17">
        <f t="shared" si="11"/>
        <v>0</v>
      </c>
      <c r="O99" s="17">
        <f t="shared" si="12"/>
        <v>0</v>
      </c>
      <c r="P99" s="17">
        <f t="shared" si="13"/>
        <v>0</v>
      </c>
      <c r="Q99" s="4" t="b">
        <f t="shared" si="14"/>
        <v>0</v>
      </c>
      <c r="R99" s="4" t="b">
        <f t="shared" si="15"/>
        <v>0</v>
      </c>
    </row>
    <row r="100" spans="2:18" x14ac:dyDescent="0.25">
      <c r="B100" s="15" t="s">
        <v>194</v>
      </c>
      <c r="C100" s="15" t="s">
        <v>195</v>
      </c>
      <c r="D100" s="15" t="s">
        <v>458</v>
      </c>
      <c r="E100" s="4" t="str">
        <f t="shared" si="8"/>
        <v>367</v>
      </c>
      <c r="F100" s="4" t="str">
        <f t="shared" si="9"/>
        <v>85</v>
      </c>
      <c r="G100" s="4" t="str">
        <f t="shared" si="10"/>
        <v>00384</v>
      </c>
      <c r="H100" s="16">
        <f>IFERROR(VLOOKUP($B100,'SAP 금액'!$A:$C,2,0),0)</f>
        <v>32602804</v>
      </c>
      <c r="I100" s="16">
        <f>IFERROR(VLOOKUP($B100,'SAP 금액'!$A:$C,3,0),0)</f>
        <v>3260279</v>
      </c>
      <c r="J100" s="16">
        <f>IFERROR(VLOOKUP(B100,'SAP 금액'!E:F,2,0),0)</f>
        <v>0</v>
      </c>
      <c r="K100" s="16">
        <f>VLOOKUP($B100,'국세청 금액'!$A:$C,2,0)</f>
        <v>68445688</v>
      </c>
      <c r="L100" s="16">
        <f>VLOOKUP($B100,'국세청 금액'!$A:$C,3,0)</f>
        <v>6844566</v>
      </c>
      <c r="M100" s="16">
        <f>VLOOKUP(B100,'국세청 금액'!A:D,4,0)</f>
        <v>0</v>
      </c>
      <c r="N100" s="17">
        <f t="shared" si="11"/>
        <v>35842884</v>
      </c>
      <c r="O100" s="17">
        <f t="shared" si="12"/>
        <v>3584287</v>
      </c>
      <c r="P100" s="17">
        <f t="shared" si="13"/>
        <v>0</v>
      </c>
      <c r="Q100" s="4" t="b">
        <f t="shared" si="14"/>
        <v>1</v>
      </c>
      <c r="R100" s="4" t="b">
        <f t="shared" si="15"/>
        <v>0</v>
      </c>
    </row>
    <row r="101" spans="2:18" x14ac:dyDescent="0.25">
      <c r="B101" s="15" t="s">
        <v>196</v>
      </c>
      <c r="C101" s="15" t="s">
        <v>197</v>
      </c>
      <c r="D101" s="15" t="s">
        <v>459</v>
      </c>
      <c r="E101" s="4" t="str">
        <f t="shared" si="8"/>
        <v>207</v>
      </c>
      <c r="F101" s="4" t="str">
        <f t="shared" si="9"/>
        <v>85</v>
      </c>
      <c r="G101" s="4" t="str">
        <f t="shared" si="10"/>
        <v>54889</v>
      </c>
      <c r="H101" s="16">
        <f>IFERROR(VLOOKUP($B101,'SAP 금액'!$A:$C,2,0),0)</f>
        <v>131888590</v>
      </c>
      <c r="I101" s="16">
        <f>IFERROR(VLOOKUP($B101,'SAP 금액'!$A:$C,3,0),0)</f>
        <v>13188861</v>
      </c>
      <c r="J101" s="16">
        <f>IFERROR(VLOOKUP(B101,'SAP 금액'!E:F,2,0),0)</f>
        <v>0</v>
      </c>
      <c r="K101" s="16">
        <f>VLOOKUP($B101,'국세청 금액'!$A:$C,2,0)</f>
        <v>131888590</v>
      </c>
      <c r="L101" s="16">
        <f>VLOOKUP($B101,'국세청 금액'!$A:$C,3,0)</f>
        <v>13188861</v>
      </c>
      <c r="M101" s="16">
        <f>VLOOKUP(B101,'국세청 금액'!A:D,4,0)</f>
        <v>0</v>
      </c>
      <c r="N101" s="17">
        <f t="shared" si="11"/>
        <v>0</v>
      </c>
      <c r="O101" s="17">
        <f t="shared" si="12"/>
        <v>0</v>
      </c>
      <c r="P101" s="17">
        <f t="shared" si="13"/>
        <v>0</v>
      </c>
      <c r="Q101" s="4" t="b">
        <f t="shared" si="14"/>
        <v>0</v>
      </c>
      <c r="R101" s="4" t="b">
        <f t="shared" si="15"/>
        <v>0</v>
      </c>
    </row>
    <row r="102" spans="2:18" x14ac:dyDescent="0.25">
      <c r="B102" s="15" t="s">
        <v>198</v>
      </c>
      <c r="C102" s="15" t="s">
        <v>199</v>
      </c>
      <c r="D102" s="15" t="s">
        <v>460</v>
      </c>
      <c r="E102" s="4" t="str">
        <f t="shared" si="8"/>
        <v>353</v>
      </c>
      <c r="F102" s="4" t="str">
        <f t="shared" si="9"/>
        <v>85</v>
      </c>
      <c r="G102" s="4" t="str">
        <f t="shared" si="10"/>
        <v>00459</v>
      </c>
      <c r="H102" s="16">
        <f>IFERROR(VLOOKUP($B102,'SAP 금액'!$A:$C,2,0),0)</f>
        <v>39519042</v>
      </c>
      <c r="I102" s="16">
        <f>IFERROR(VLOOKUP($B102,'SAP 금액'!$A:$C,3,0),0)</f>
        <v>3951904</v>
      </c>
      <c r="J102" s="16">
        <f>IFERROR(VLOOKUP(B102,'SAP 금액'!E:F,2,0),0)</f>
        <v>109148</v>
      </c>
      <c r="K102" s="16">
        <f>VLOOKUP($B102,'국세청 금액'!$A:$C,2,0)</f>
        <v>39519042</v>
      </c>
      <c r="L102" s="16">
        <f>VLOOKUP($B102,'국세청 금액'!$A:$C,3,0)</f>
        <v>3951904</v>
      </c>
      <c r="M102" s="16">
        <f>VLOOKUP(B102,'국세청 금액'!A:D,4,0)</f>
        <v>109148</v>
      </c>
      <c r="N102" s="17">
        <f t="shared" si="11"/>
        <v>0</v>
      </c>
      <c r="O102" s="17">
        <f t="shared" si="12"/>
        <v>0</v>
      </c>
      <c r="P102" s="17">
        <f t="shared" si="13"/>
        <v>0</v>
      </c>
      <c r="Q102" s="4" t="b">
        <f t="shared" si="14"/>
        <v>0</v>
      </c>
      <c r="R102" s="4" t="b">
        <f t="shared" si="15"/>
        <v>0</v>
      </c>
    </row>
    <row r="103" spans="2:18" x14ac:dyDescent="0.25">
      <c r="B103" s="15" t="s">
        <v>200</v>
      </c>
      <c r="C103" s="15" t="s">
        <v>201</v>
      </c>
      <c r="D103" s="15" t="s">
        <v>461</v>
      </c>
      <c r="E103" s="4" t="str">
        <f t="shared" si="8"/>
        <v>827</v>
      </c>
      <c r="F103" s="4" t="str">
        <f t="shared" si="9"/>
        <v>85</v>
      </c>
      <c r="G103" s="4" t="str">
        <f t="shared" si="10"/>
        <v>00488</v>
      </c>
      <c r="H103" s="16">
        <f>IFERROR(VLOOKUP($B103,'SAP 금액'!$A:$C,2,0),0)</f>
        <v>30534272</v>
      </c>
      <c r="I103" s="16">
        <f>IFERROR(VLOOKUP($B103,'SAP 금액'!$A:$C,3,0),0)</f>
        <v>3053429</v>
      </c>
      <c r="J103" s="16">
        <f>IFERROR(VLOOKUP(B103,'SAP 금액'!E:F,2,0),0)</f>
        <v>0</v>
      </c>
      <c r="K103" s="16">
        <f>VLOOKUP($B103,'국세청 금액'!$A:$C,2,0)</f>
        <v>30534272</v>
      </c>
      <c r="L103" s="16">
        <f>VLOOKUP($B103,'국세청 금액'!$A:$C,3,0)</f>
        <v>3053429</v>
      </c>
      <c r="M103" s="16">
        <f>VLOOKUP(B103,'국세청 금액'!A:D,4,0)</f>
        <v>0</v>
      </c>
      <c r="N103" s="17">
        <f t="shared" si="11"/>
        <v>0</v>
      </c>
      <c r="O103" s="17">
        <f t="shared" si="12"/>
        <v>0</v>
      </c>
      <c r="P103" s="17">
        <f t="shared" si="13"/>
        <v>0</v>
      </c>
      <c r="Q103" s="4" t="b">
        <f t="shared" si="14"/>
        <v>0</v>
      </c>
      <c r="R103" s="4" t="b">
        <f t="shared" si="15"/>
        <v>0</v>
      </c>
    </row>
    <row r="104" spans="2:18" x14ac:dyDescent="0.25">
      <c r="B104" s="15" t="s">
        <v>202</v>
      </c>
      <c r="C104" s="15" t="s">
        <v>203</v>
      </c>
      <c r="D104" s="15" t="s">
        <v>462</v>
      </c>
      <c r="E104" s="4" t="str">
        <f t="shared" si="8"/>
        <v>339</v>
      </c>
      <c r="F104" s="4" t="str">
        <f t="shared" si="9"/>
        <v>85</v>
      </c>
      <c r="G104" s="4" t="str">
        <f t="shared" si="10"/>
        <v>00400</v>
      </c>
      <c r="H104" s="16">
        <f>IFERROR(VLOOKUP($B104,'SAP 금액'!$A:$C,2,0),0)</f>
        <v>17175037</v>
      </c>
      <c r="I104" s="16">
        <f>IFERROR(VLOOKUP($B104,'SAP 금액'!$A:$C,3,0),0)</f>
        <v>1717503</v>
      </c>
      <c r="J104" s="16">
        <f>IFERROR(VLOOKUP(B104,'SAP 금액'!E:F,2,0),0)</f>
        <v>0</v>
      </c>
      <c r="K104" s="16">
        <f>VLOOKUP($B104,'국세청 금액'!$A:$C,2,0)</f>
        <v>17979201</v>
      </c>
      <c r="L104" s="16">
        <f>VLOOKUP($B104,'국세청 금액'!$A:$C,3,0)</f>
        <v>1797919</v>
      </c>
      <c r="M104" s="16">
        <f>VLOOKUP(B104,'국세청 금액'!A:D,4,0)</f>
        <v>0</v>
      </c>
      <c r="N104" s="17">
        <f t="shared" si="11"/>
        <v>804164</v>
      </c>
      <c r="O104" s="17">
        <f t="shared" si="12"/>
        <v>80416</v>
      </c>
      <c r="P104" s="17">
        <f t="shared" si="13"/>
        <v>0</v>
      </c>
      <c r="Q104" s="4" t="b">
        <f t="shared" si="14"/>
        <v>1</v>
      </c>
      <c r="R104" s="4" t="b">
        <f t="shared" si="15"/>
        <v>0</v>
      </c>
    </row>
    <row r="105" spans="2:18" x14ac:dyDescent="0.25">
      <c r="B105" s="15" t="s">
        <v>204</v>
      </c>
      <c r="C105" s="15" t="s">
        <v>205</v>
      </c>
      <c r="D105" s="15" t="s">
        <v>463</v>
      </c>
      <c r="E105" s="4" t="str">
        <f t="shared" si="8"/>
        <v>218</v>
      </c>
      <c r="F105" s="4" t="str">
        <f t="shared" si="9"/>
        <v>85</v>
      </c>
      <c r="G105" s="4" t="str">
        <f t="shared" si="10"/>
        <v>04531</v>
      </c>
      <c r="H105" s="16">
        <f>IFERROR(VLOOKUP($B105,'SAP 금액'!$A:$C,2,0),0)</f>
        <v>11230300</v>
      </c>
      <c r="I105" s="16">
        <f>IFERROR(VLOOKUP($B105,'SAP 금액'!$A:$C,3,0),0)</f>
        <v>1123030</v>
      </c>
      <c r="J105" s="16">
        <f>IFERROR(VLOOKUP(B105,'SAP 금액'!E:F,2,0),0)</f>
        <v>0</v>
      </c>
      <c r="K105" s="16">
        <f>VLOOKUP($B105,'국세청 금액'!$A:$C,2,0)</f>
        <v>11741978</v>
      </c>
      <c r="L105" s="16">
        <f>VLOOKUP($B105,'국세청 금액'!$A:$C,3,0)</f>
        <v>1174198</v>
      </c>
      <c r="M105" s="16">
        <f>VLOOKUP(B105,'국세청 금액'!A:D,4,0)</f>
        <v>0</v>
      </c>
      <c r="N105" s="17">
        <f t="shared" si="11"/>
        <v>511678</v>
      </c>
      <c r="O105" s="17">
        <f t="shared" si="12"/>
        <v>51168</v>
      </c>
      <c r="P105" s="17">
        <f t="shared" si="13"/>
        <v>0</v>
      </c>
      <c r="Q105" s="4" t="b">
        <f t="shared" si="14"/>
        <v>1</v>
      </c>
      <c r="R105" s="4" t="b">
        <f t="shared" si="15"/>
        <v>0</v>
      </c>
    </row>
    <row r="106" spans="2:18" x14ac:dyDescent="0.25">
      <c r="B106" s="15" t="s">
        <v>206</v>
      </c>
      <c r="C106" s="15" t="s">
        <v>207</v>
      </c>
      <c r="D106" s="15" t="s">
        <v>464</v>
      </c>
      <c r="E106" s="4" t="str">
        <f t="shared" si="8"/>
        <v>696</v>
      </c>
      <c r="F106" s="4" t="str">
        <f t="shared" si="9"/>
        <v>85</v>
      </c>
      <c r="G106" s="4" t="str">
        <f t="shared" si="10"/>
        <v>00545</v>
      </c>
      <c r="H106" s="16">
        <f>IFERROR(VLOOKUP($B106,'SAP 금액'!$A:$C,2,0),0)</f>
        <v>3952447</v>
      </c>
      <c r="I106" s="16">
        <f>IFERROR(VLOOKUP($B106,'SAP 금액'!$A:$C,3,0),0)</f>
        <v>395245</v>
      </c>
      <c r="J106" s="16">
        <f>IFERROR(VLOOKUP(B106,'SAP 금액'!E:F,2,0),0)</f>
        <v>0</v>
      </c>
      <c r="K106" s="16">
        <f>VLOOKUP($B106,'국세청 금액'!$A:$C,2,0)</f>
        <v>3952447</v>
      </c>
      <c r="L106" s="16">
        <f>VLOOKUP($B106,'국세청 금액'!$A:$C,3,0)</f>
        <v>395245</v>
      </c>
      <c r="M106" s="16">
        <f>VLOOKUP(B106,'국세청 금액'!A:D,4,0)</f>
        <v>0</v>
      </c>
      <c r="N106" s="17">
        <f t="shared" si="11"/>
        <v>0</v>
      </c>
      <c r="O106" s="17">
        <f t="shared" si="12"/>
        <v>0</v>
      </c>
      <c r="P106" s="17">
        <f t="shared" si="13"/>
        <v>0</v>
      </c>
      <c r="Q106" s="4" t="b">
        <f t="shared" si="14"/>
        <v>0</v>
      </c>
      <c r="R106" s="4" t="b">
        <f t="shared" si="15"/>
        <v>0</v>
      </c>
    </row>
    <row r="107" spans="2:18" x14ac:dyDescent="0.25">
      <c r="B107" s="15" t="s">
        <v>208</v>
      </c>
      <c r="C107" s="15" t="s">
        <v>209</v>
      </c>
      <c r="D107" s="15" t="s">
        <v>465</v>
      </c>
      <c r="E107" s="4" t="str">
        <f t="shared" si="8"/>
        <v>644</v>
      </c>
      <c r="F107" s="4" t="str">
        <f t="shared" si="9"/>
        <v>85</v>
      </c>
      <c r="G107" s="4" t="str">
        <f t="shared" si="10"/>
        <v>00563</v>
      </c>
      <c r="H107" s="16">
        <f>IFERROR(VLOOKUP($B107,'SAP 금액'!$A:$C,2,0),0)</f>
        <v>71269434</v>
      </c>
      <c r="I107" s="16">
        <f>IFERROR(VLOOKUP($B107,'SAP 금액'!$A:$C,3,0),0)</f>
        <v>7126943</v>
      </c>
      <c r="J107" s="16">
        <f>IFERROR(VLOOKUP(B107,'SAP 금액'!E:F,2,0),0)</f>
        <v>0</v>
      </c>
      <c r="K107" s="16">
        <f>VLOOKUP($B107,'국세청 금액'!$A:$C,2,0)</f>
        <v>71269434</v>
      </c>
      <c r="L107" s="16">
        <f>VLOOKUP($B107,'국세청 금액'!$A:$C,3,0)</f>
        <v>7126943</v>
      </c>
      <c r="M107" s="16">
        <f>VLOOKUP(B107,'국세청 금액'!A:D,4,0)</f>
        <v>0</v>
      </c>
      <c r="N107" s="17">
        <f t="shared" si="11"/>
        <v>0</v>
      </c>
      <c r="O107" s="17">
        <f t="shared" si="12"/>
        <v>0</v>
      </c>
      <c r="P107" s="17">
        <f t="shared" si="13"/>
        <v>0</v>
      </c>
      <c r="Q107" s="4" t="b">
        <f t="shared" si="14"/>
        <v>0</v>
      </c>
      <c r="R107" s="4" t="b">
        <f t="shared" si="15"/>
        <v>0</v>
      </c>
    </row>
    <row r="108" spans="2:18" x14ac:dyDescent="0.25">
      <c r="B108" s="15" t="s">
        <v>210</v>
      </c>
      <c r="C108" s="15" t="s">
        <v>211</v>
      </c>
      <c r="D108" s="15" t="s">
        <v>466</v>
      </c>
      <c r="E108" s="4" t="str">
        <f t="shared" si="8"/>
        <v>399</v>
      </c>
      <c r="F108" s="4" t="str">
        <f t="shared" si="9"/>
        <v>85</v>
      </c>
      <c r="G108" s="4" t="str">
        <f t="shared" si="10"/>
        <v>00571</v>
      </c>
      <c r="H108" s="16">
        <f>IFERROR(VLOOKUP($B108,'SAP 금액'!$A:$C,2,0),0)</f>
        <v>39667002</v>
      </c>
      <c r="I108" s="16">
        <f>IFERROR(VLOOKUP($B108,'SAP 금액'!$A:$C,3,0),0)</f>
        <v>3966701</v>
      </c>
      <c r="J108" s="16">
        <f>IFERROR(VLOOKUP(B108,'SAP 금액'!E:F,2,0),0)</f>
        <v>43305</v>
      </c>
      <c r="K108" s="16">
        <f>VLOOKUP($B108,'국세청 금액'!$A:$C,2,0)</f>
        <v>39667002</v>
      </c>
      <c r="L108" s="16">
        <f>VLOOKUP($B108,'국세청 금액'!$A:$C,3,0)</f>
        <v>3966701</v>
      </c>
      <c r="M108" s="16">
        <f>VLOOKUP(B108,'국세청 금액'!A:D,4,0)</f>
        <v>43305</v>
      </c>
      <c r="N108" s="17">
        <f t="shared" si="11"/>
        <v>0</v>
      </c>
      <c r="O108" s="17">
        <f t="shared" si="12"/>
        <v>0</v>
      </c>
      <c r="P108" s="17">
        <f t="shared" si="13"/>
        <v>0</v>
      </c>
      <c r="Q108" s="4" t="b">
        <f t="shared" si="14"/>
        <v>0</v>
      </c>
      <c r="R108" s="4" t="b">
        <f t="shared" si="15"/>
        <v>0</v>
      </c>
    </row>
    <row r="109" spans="2:18" x14ac:dyDescent="0.25">
      <c r="B109" s="15" t="s">
        <v>212</v>
      </c>
      <c r="C109" s="15" t="s">
        <v>213</v>
      </c>
      <c r="D109" s="15" t="s">
        <v>467</v>
      </c>
      <c r="E109" s="4" t="str">
        <f t="shared" si="8"/>
        <v>140</v>
      </c>
      <c r="F109" s="4" t="str">
        <f t="shared" si="9"/>
        <v>85</v>
      </c>
      <c r="G109" s="4" t="str">
        <f t="shared" si="10"/>
        <v>25984</v>
      </c>
      <c r="H109" s="16">
        <f>IFERROR(VLOOKUP($B109,'SAP 금액'!$A:$C,2,0),0)</f>
        <v>359825</v>
      </c>
      <c r="I109" s="16">
        <f>IFERROR(VLOOKUP($B109,'SAP 금액'!$A:$C,3,0),0)</f>
        <v>35983</v>
      </c>
      <c r="J109" s="16">
        <f>IFERROR(VLOOKUP(B109,'SAP 금액'!E:F,2,0),0)</f>
        <v>228140</v>
      </c>
      <c r="K109" s="16">
        <f>VLOOKUP($B109,'국세청 금액'!$A:$C,2,0)</f>
        <v>347555005</v>
      </c>
      <c r="L109" s="16">
        <f>VLOOKUP($B109,'국세청 금액'!$A:$C,3,0)</f>
        <v>34755501</v>
      </c>
      <c r="M109" s="16">
        <f>VLOOKUP(B109,'국세청 금액'!A:D,4,0)</f>
        <v>228140</v>
      </c>
      <c r="N109" s="17">
        <f t="shared" si="11"/>
        <v>347195180</v>
      </c>
      <c r="O109" s="17">
        <f t="shared" si="12"/>
        <v>34719518</v>
      </c>
      <c r="P109" s="17">
        <f t="shared" si="13"/>
        <v>0</v>
      </c>
      <c r="Q109" s="4" t="b">
        <f t="shared" si="14"/>
        <v>1</v>
      </c>
      <c r="R109" s="4" t="b">
        <f t="shared" si="15"/>
        <v>0</v>
      </c>
    </row>
    <row r="110" spans="2:18" x14ac:dyDescent="0.25">
      <c r="B110" s="15" t="s">
        <v>214</v>
      </c>
      <c r="C110" s="15" t="s">
        <v>215</v>
      </c>
      <c r="D110" s="15" t="s">
        <v>468</v>
      </c>
      <c r="E110" s="4" t="str">
        <f t="shared" si="8"/>
        <v>302</v>
      </c>
      <c r="F110" s="4" t="str">
        <f t="shared" si="9"/>
        <v>85</v>
      </c>
      <c r="G110" s="4" t="str">
        <f t="shared" si="10"/>
        <v>08512</v>
      </c>
      <c r="H110" s="16">
        <f>IFERROR(VLOOKUP($B110,'SAP 금액'!$A:$C,2,0),0)</f>
        <v>0</v>
      </c>
      <c r="I110" s="16">
        <f>IFERROR(VLOOKUP($B110,'SAP 금액'!$A:$C,3,0),0)</f>
        <v>0</v>
      </c>
      <c r="J110" s="16">
        <f>IFERROR(VLOOKUP(B110,'SAP 금액'!E:F,2,0),0)</f>
        <v>0</v>
      </c>
      <c r="K110" s="16">
        <f>VLOOKUP($B110,'국세청 금액'!$A:$C,2,0)</f>
        <v>0</v>
      </c>
      <c r="L110" s="16">
        <f>VLOOKUP($B110,'국세청 금액'!$A:$C,3,0)</f>
        <v>0</v>
      </c>
      <c r="M110" s="16">
        <f>VLOOKUP(B110,'국세청 금액'!A:D,4,0)</f>
        <v>0</v>
      </c>
      <c r="N110" s="17">
        <f t="shared" si="11"/>
        <v>0</v>
      </c>
      <c r="O110" s="17">
        <f t="shared" si="12"/>
        <v>0</v>
      </c>
      <c r="P110" s="17">
        <f t="shared" si="13"/>
        <v>0</v>
      </c>
      <c r="Q110" s="4" t="b">
        <f t="shared" si="14"/>
        <v>0</v>
      </c>
      <c r="R110" s="4" t="b">
        <f t="shared" si="15"/>
        <v>0</v>
      </c>
    </row>
    <row r="111" spans="2:18" x14ac:dyDescent="0.25">
      <c r="B111" s="15" t="s">
        <v>216</v>
      </c>
      <c r="C111" s="15" t="s">
        <v>217</v>
      </c>
      <c r="D111" s="15" t="s">
        <v>469</v>
      </c>
      <c r="E111" s="4" t="str">
        <f t="shared" si="8"/>
        <v>426</v>
      </c>
      <c r="F111" s="4" t="str">
        <f t="shared" si="9"/>
        <v>85</v>
      </c>
      <c r="G111" s="4" t="str">
        <f t="shared" si="10"/>
        <v>00500</v>
      </c>
      <c r="H111" s="16">
        <f>IFERROR(VLOOKUP($B111,'SAP 금액'!$A:$C,2,0),0)</f>
        <v>54249017</v>
      </c>
      <c r="I111" s="16">
        <f>IFERROR(VLOOKUP($B111,'SAP 금액'!$A:$C,3,0),0)</f>
        <v>5424902</v>
      </c>
      <c r="J111" s="16">
        <f>IFERROR(VLOOKUP(B111,'SAP 금액'!E:F,2,0),0)</f>
        <v>326406</v>
      </c>
      <c r="K111" s="16">
        <f>VLOOKUP($B111,'국세청 금액'!$A:$C,2,0)</f>
        <v>54249017</v>
      </c>
      <c r="L111" s="16">
        <f>VLOOKUP($B111,'국세청 금액'!$A:$C,3,0)</f>
        <v>5424902</v>
      </c>
      <c r="M111" s="16">
        <f>VLOOKUP(B111,'국세청 금액'!A:D,4,0)</f>
        <v>326406</v>
      </c>
      <c r="N111" s="17">
        <f t="shared" si="11"/>
        <v>0</v>
      </c>
      <c r="O111" s="17">
        <f t="shared" si="12"/>
        <v>0</v>
      </c>
      <c r="P111" s="17">
        <f t="shared" si="13"/>
        <v>0</v>
      </c>
      <c r="Q111" s="4" t="b">
        <f t="shared" si="14"/>
        <v>0</v>
      </c>
      <c r="R111" s="4" t="b">
        <f t="shared" si="15"/>
        <v>0</v>
      </c>
    </row>
    <row r="112" spans="2:18" x14ac:dyDescent="0.25">
      <c r="B112" s="15" t="s">
        <v>218</v>
      </c>
      <c r="C112" s="15" t="s">
        <v>219</v>
      </c>
      <c r="D112" s="15" t="s">
        <v>470</v>
      </c>
      <c r="E112" s="4" t="str">
        <f t="shared" si="8"/>
        <v>217</v>
      </c>
      <c r="F112" s="4" t="str">
        <f t="shared" si="9"/>
        <v>85</v>
      </c>
      <c r="G112" s="4" t="str">
        <f t="shared" si="10"/>
        <v>23990</v>
      </c>
      <c r="H112" s="16">
        <f>IFERROR(VLOOKUP($B112,'SAP 금액'!$A:$C,2,0),0)</f>
        <v>161677</v>
      </c>
      <c r="I112" s="16">
        <f>IFERROR(VLOOKUP($B112,'SAP 금액'!$A:$C,3,0),0)</f>
        <v>16168</v>
      </c>
      <c r="J112" s="16">
        <f>IFERROR(VLOOKUP(B112,'SAP 금액'!E:F,2,0),0)</f>
        <v>14960</v>
      </c>
      <c r="K112" s="16">
        <f>VLOOKUP($B112,'국세청 금액'!$A:$C,2,0)</f>
        <v>840217</v>
      </c>
      <c r="L112" s="16">
        <f>VLOOKUP($B112,'국세청 금액'!$A:$C,3,0)</f>
        <v>84022</v>
      </c>
      <c r="M112" s="16">
        <f>VLOOKUP(B112,'국세청 금액'!A:D,4,0)</f>
        <v>14960</v>
      </c>
      <c r="N112" s="17">
        <f t="shared" si="11"/>
        <v>678540</v>
      </c>
      <c r="O112" s="17">
        <f t="shared" si="12"/>
        <v>67854</v>
      </c>
      <c r="P112" s="17">
        <f t="shared" si="13"/>
        <v>0</v>
      </c>
      <c r="Q112" s="4" t="b">
        <f t="shared" si="14"/>
        <v>1</v>
      </c>
      <c r="R112" s="4" t="b">
        <f t="shared" si="15"/>
        <v>0</v>
      </c>
    </row>
    <row r="113" spans="2:18" x14ac:dyDescent="0.25">
      <c r="B113" s="15" t="s">
        <v>220</v>
      </c>
      <c r="C113" s="15" t="s">
        <v>221</v>
      </c>
      <c r="D113" s="15" t="s">
        <v>471</v>
      </c>
      <c r="E113" s="4" t="str">
        <f t="shared" si="8"/>
        <v>711</v>
      </c>
      <c r="F113" s="4" t="str">
        <f t="shared" si="9"/>
        <v>85</v>
      </c>
      <c r="G113" s="4" t="str">
        <f t="shared" si="10"/>
        <v>00806</v>
      </c>
      <c r="H113" s="16">
        <f>IFERROR(VLOOKUP($B113,'SAP 금액'!$A:$C,2,0),0)</f>
        <v>37878425</v>
      </c>
      <c r="I113" s="16">
        <f>IFERROR(VLOOKUP($B113,'SAP 금액'!$A:$C,3,0),0)</f>
        <v>3787844</v>
      </c>
      <c r="J113" s="16">
        <f>IFERROR(VLOOKUP(B113,'SAP 금액'!E:F,2,0),0)</f>
        <v>0</v>
      </c>
      <c r="K113" s="16">
        <f>VLOOKUP($B113,'국세청 금액'!$A:$C,2,0)</f>
        <v>37878425</v>
      </c>
      <c r="L113" s="16">
        <f>VLOOKUP($B113,'국세청 금액'!$A:$C,3,0)</f>
        <v>3787844</v>
      </c>
      <c r="M113" s="16">
        <f>VLOOKUP(B113,'국세청 금액'!A:D,4,0)</f>
        <v>0</v>
      </c>
      <c r="N113" s="17">
        <f t="shared" si="11"/>
        <v>0</v>
      </c>
      <c r="O113" s="17">
        <f t="shared" si="12"/>
        <v>0</v>
      </c>
      <c r="P113" s="17">
        <f t="shared" si="13"/>
        <v>0</v>
      </c>
      <c r="Q113" s="4" t="b">
        <f t="shared" si="14"/>
        <v>0</v>
      </c>
      <c r="R113" s="4" t="b">
        <f t="shared" si="15"/>
        <v>0</v>
      </c>
    </row>
    <row r="114" spans="2:18" x14ac:dyDescent="0.25">
      <c r="B114" s="15" t="s">
        <v>222</v>
      </c>
      <c r="C114" s="15" t="s">
        <v>223</v>
      </c>
      <c r="D114" s="15" t="s">
        <v>472</v>
      </c>
      <c r="E114" s="4" t="str">
        <f t="shared" si="8"/>
        <v>445</v>
      </c>
      <c r="F114" s="4" t="str">
        <f t="shared" si="9"/>
        <v>85</v>
      </c>
      <c r="G114" s="4" t="str">
        <f t="shared" si="10"/>
        <v>00855</v>
      </c>
      <c r="H114" s="16">
        <f>IFERROR(VLOOKUP($B114,'SAP 금액'!$A:$C,2,0),0)</f>
        <v>15445962</v>
      </c>
      <c r="I114" s="16">
        <f>IFERROR(VLOOKUP($B114,'SAP 금액'!$A:$C,3,0),0)</f>
        <v>1544595</v>
      </c>
      <c r="J114" s="16">
        <f>IFERROR(VLOOKUP(B114,'SAP 금액'!E:F,2,0),0)</f>
        <v>0</v>
      </c>
      <c r="K114" s="16">
        <f>VLOOKUP($B114,'국세청 금액'!$A:$C,2,0)</f>
        <v>15445962</v>
      </c>
      <c r="L114" s="16">
        <f>VLOOKUP($B114,'국세청 금액'!$A:$C,3,0)</f>
        <v>1544595</v>
      </c>
      <c r="M114" s="16">
        <f>VLOOKUP(B114,'국세청 금액'!A:D,4,0)</f>
        <v>0</v>
      </c>
      <c r="N114" s="17">
        <f t="shared" si="11"/>
        <v>0</v>
      </c>
      <c r="O114" s="17">
        <f t="shared" si="12"/>
        <v>0</v>
      </c>
      <c r="P114" s="17">
        <f t="shared" si="13"/>
        <v>0</v>
      </c>
      <c r="Q114" s="4" t="b">
        <f t="shared" si="14"/>
        <v>0</v>
      </c>
      <c r="R114" s="4" t="b">
        <f t="shared" si="15"/>
        <v>0</v>
      </c>
    </row>
    <row r="115" spans="2:18" x14ac:dyDescent="0.25">
      <c r="B115" s="15" t="s">
        <v>224</v>
      </c>
      <c r="C115" s="15" t="s">
        <v>225</v>
      </c>
      <c r="D115" s="15" t="s">
        <v>473</v>
      </c>
      <c r="E115" s="4" t="str">
        <f t="shared" si="8"/>
        <v>483</v>
      </c>
      <c r="F115" s="4" t="str">
        <f t="shared" si="9"/>
        <v>85</v>
      </c>
      <c r="G115" s="4" t="str">
        <f t="shared" si="10"/>
        <v>00916</v>
      </c>
      <c r="H115" s="16">
        <f>IFERROR(VLOOKUP($B115,'SAP 금액'!$A:$C,2,0),0)</f>
        <v>27346809</v>
      </c>
      <c r="I115" s="16">
        <f>IFERROR(VLOOKUP($B115,'SAP 금액'!$A:$C,3,0),0)</f>
        <v>2734683</v>
      </c>
      <c r="J115" s="16">
        <f>IFERROR(VLOOKUP(B115,'SAP 금액'!E:F,2,0),0)</f>
        <v>0</v>
      </c>
      <c r="K115" s="16">
        <f>VLOOKUP($B115,'국세청 금액'!$A:$C,2,0)</f>
        <v>27346809</v>
      </c>
      <c r="L115" s="16">
        <f>VLOOKUP($B115,'국세청 금액'!$A:$C,3,0)</f>
        <v>2734683</v>
      </c>
      <c r="M115" s="16">
        <f>VLOOKUP(B115,'국세청 금액'!A:D,4,0)</f>
        <v>0</v>
      </c>
      <c r="N115" s="17">
        <f t="shared" si="11"/>
        <v>0</v>
      </c>
      <c r="O115" s="17">
        <f t="shared" si="12"/>
        <v>0</v>
      </c>
      <c r="P115" s="17">
        <f t="shared" si="13"/>
        <v>0</v>
      </c>
      <c r="Q115" s="4" t="b">
        <f t="shared" si="14"/>
        <v>0</v>
      </c>
      <c r="R115" s="4" t="b">
        <f t="shared" si="15"/>
        <v>0</v>
      </c>
    </row>
    <row r="116" spans="2:18" x14ac:dyDescent="0.25">
      <c r="B116" s="15" t="s">
        <v>226</v>
      </c>
      <c r="C116" s="15" t="s">
        <v>227</v>
      </c>
      <c r="D116" s="15" t="s">
        <v>474</v>
      </c>
      <c r="E116" s="4" t="str">
        <f t="shared" si="8"/>
        <v>184</v>
      </c>
      <c r="F116" s="4" t="str">
        <f t="shared" si="9"/>
        <v>85</v>
      </c>
      <c r="G116" s="4" t="str">
        <f t="shared" si="10"/>
        <v>00756</v>
      </c>
      <c r="H116" s="16">
        <f>IFERROR(VLOOKUP($B116,'SAP 금액'!$A:$C,2,0),0)</f>
        <v>8096364</v>
      </c>
      <c r="I116" s="16">
        <f>IFERROR(VLOOKUP($B116,'SAP 금액'!$A:$C,3,0),0)</f>
        <v>809636</v>
      </c>
      <c r="J116" s="16">
        <f>IFERROR(VLOOKUP(B116,'SAP 금액'!E:F,2,0),0)</f>
        <v>0</v>
      </c>
      <c r="K116" s="16">
        <f>VLOOKUP($B116,'국세청 금액'!$A:$C,2,0)</f>
        <v>8096364</v>
      </c>
      <c r="L116" s="16">
        <f>VLOOKUP($B116,'국세청 금액'!$A:$C,3,0)</f>
        <v>809636</v>
      </c>
      <c r="M116" s="16">
        <f>VLOOKUP(B116,'국세청 금액'!A:D,4,0)</f>
        <v>0</v>
      </c>
      <c r="N116" s="17">
        <f t="shared" si="11"/>
        <v>0</v>
      </c>
      <c r="O116" s="17">
        <f t="shared" si="12"/>
        <v>0</v>
      </c>
      <c r="P116" s="17">
        <f t="shared" si="13"/>
        <v>0</v>
      </c>
      <c r="Q116" s="4" t="b">
        <f t="shared" si="14"/>
        <v>0</v>
      </c>
      <c r="R116" s="4" t="b">
        <f t="shared" si="15"/>
        <v>0</v>
      </c>
    </row>
    <row r="117" spans="2:18" x14ac:dyDescent="0.25">
      <c r="B117" s="15" t="s">
        <v>228</v>
      </c>
      <c r="C117" s="15" t="s">
        <v>229</v>
      </c>
      <c r="D117" s="15" t="s">
        <v>475</v>
      </c>
      <c r="E117" s="4" t="str">
        <f t="shared" si="8"/>
        <v>883</v>
      </c>
      <c r="F117" s="4" t="str">
        <f t="shared" si="9"/>
        <v>85</v>
      </c>
      <c r="G117" s="4" t="str">
        <f t="shared" si="10"/>
        <v>00794</v>
      </c>
      <c r="H117" s="16">
        <f>IFERROR(VLOOKUP($B117,'SAP 금액'!$A:$C,2,0),0)</f>
        <v>4277819</v>
      </c>
      <c r="I117" s="16">
        <f>IFERROR(VLOOKUP($B117,'SAP 금액'!$A:$C,3,0),0)</f>
        <v>427782</v>
      </c>
      <c r="J117" s="16">
        <f>IFERROR(VLOOKUP(B117,'SAP 금액'!E:F,2,0),0)</f>
        <v>0</v>
      </c>
      <c r="K117" s="16">
        <f>VLOOKUP($B117,'국세청 금액'!$A:$C,2,0)</f>
        <v>4277819</v>
      </c>
      <c r="L117" s="16">
        <f>VLOOKUP($B117,'국세청 금액'!$A:$C,3,0)</f>
        <v>427782</v>
      </c>
      <c r="M117" s="16">
        <f>VLOOKUP(B117,'국세청 금액'!A:D,4,0)</f>
        <v>0</v>
      </c>
      <c r="N117" s="17">
        <f t="shared" si="11"/>
        <v>0</v>
      </c>
      <c r="O117" s="17">
        <f t="shared" si="12"/>
        <v>0</v>
      </c>
      <c r="P117" s="17">
        <f t="shared" si="13"/>
        <v>0</v>
      </c>
      <c r="Q117" s="4" t="b">
        <f t="shared" si="14"/>
        <v>0</v>
      </c>
      <c r="R117" s="4" t="b">
        <f t="shared" si="15"/>
        <v>0</v>
      </c>
    </row>
    <row r="118" spans="2:18" x14ac:dyDescent="0.25">
      <c r="B118" s="15" t="s">
        <v>230</v>
      </c>
      <c r="C118" s="15" t="s">
        <v>231</v>
      </c>
      <c r="D118" s="15" t="s">
        <v>476</v>
      </c>
      <c r="E118" s="4" t="str">
        <f t="shared" si="8"/>
        <v>206</v>
      </c>
      <c r="F118" s="4" t="str">
        <f t="shared" si="9"/>
        <v>85</v>
      </c>
      <c r="G118" s="4" t="str">
        <f t="shared" si="10"/>
        <v>44243</v>
      </c>
      <c r="H118" s="16">
        <f>IFERROR(VLOOKUP($B118,'SAP 금액'!$A:$C,2,0),0)</f>
        <v>10858148</v>
      </c>
      <c r="I118" s="16">
        <f>IFERROR(VLOOKUP($B118,'SAP 금액'!$A:$C,3,0),0)</f>
        <v>1085815</v>
      </c>
      <c r="J118" s="16">
        <f>IFERROR(VLOOKUP(B118,'SAP 금액'!E:F,2,0),0)</f>
        <v>0</v>
      </c>
      <c r="K118" s="16">
        <f>VLOOKUP($B118,'국세청 금액'!$A:$C,2,0)</f>
        <v>10858148</v>
      </c>
      <c r="L118" s="16">
        <f>VLOOKUP($B118,'국세청 금액'!$A:$C,3,0)</f>
        <v>1085815</v>
      </c>
      <c r="M118" s="16">
        <f>VLOOKUP(B118,'국세청 금액'!A:D,4,0)</f>
        <v>0</v>
      </c>
      <c r="N118" s="17">
        <f t="shared" si="11"/>
        <v>0</v>
      </c>
      <c r="O118" s="17">
        <f t="shared" si="12"/>
        <v>0</v>
      </c>
      <c r="P118" s="17">
        <f t="shared" si="13"/>
        <v>0</v>
      </c>
      <c r="Q118" s="4" t="b">
        <f t="shared" si="14"/>
        <v>0</v>
      </c>
      <c r="R118" s="4" t="b">
        <f t="shared" si="15"/>
        <v>0</v>
      </c>
    </row>
    <row r="119" spans="2:18" x14ac:dyDescent="0.25">
      <c r="B119" s="15" t="s">
        <v>232</v>
      </c>
      <c r="C119" s="15" t="s">
        <v>233</v>
      </c>
      <c r="D119" s="15" t="s">
        <v>477</v>
      </c>
      <c r="E119" s="4" t="str">
        <f t="shared" si="8"/>
        <v>844</v>
      </c>
      <c r="F119" s="4" t="str">
        <f t="shared" si="9"/>
        <v>85</v>
      </c>
      <c r="G119" s="4" t="str">
        <f t="shared" si="10"/>
        <v>00810</v>
      </c>
      <c r="H119" s="16">
        <f>IFERROR(VLOOKUP($B119,'SAP 금액'!$A:$C,2,0),0)</f>
        <v>9171025</v>
      </c>
      <c r="I119" s="16">
        <f>IFERROR(VLOOKUP($B119,'SAP 금액'!$A:$C,3,0),0)</f>
        <v>917103</v>
      </c>
      <c r="J119" s="16">
        <f>IFERROR(VLOOKUP(B119,'SAP 금액'!E:F,2,0),0)</f>
        <v>161000</v>
      </c>
      <c r="K119" s="16">
        <f>VLOOKUP($B119,'국세청 금액'!$A:$C,2,0)</f>
        <v>9171345</v>
      </c>
      <c r="L119" s="16">
        <f>VLOOKUP($B119,'국세청 금액'!$A:$C,3,0)</f>
        <v>917135</v>
      </c>
      <c r="M119" s="16">
        <f>VLOOKUP(B119,'국세청 금액'!A:D,4,0)</f>
        <v>161000</v>
      </c>
      <c r="N119" s="17">
        <f t="shared" si="11"/>
        <v>320</v>
      </c>
      <c r="O119" s="17">
        <f t="shared" si="12"/>
        <v>32</v>
      </c>
      <c r="P119" s="17">
        <f t="shared" si="13"/>
        <v>0</v>
      </c>
      <c r="Q119" s="4" t="b">
        <f t="shared" si="14"/>
        <v>1</v>
      </c>
      <c r="R119" s="4" t="b">
        <f t="shared" si="15"/>
        <v>0</v>
      </c>
    </row>
    <row r="120" spans="2:18" x14ac:dyDescent="0.25">
      <c r="B120" s="15" t="s">
        <v>234</v>
      </c>
      <c r="C120" s="15" t="s">
        <v>235</v>
      </c>
      <c r="D120" s="15" t="s">
        <v>478</v>
      </c>
      <c r="E120" s="4" t="str">
        <f t="shared" si="8"/>
        <v>399</v>
      </c>
      <c r="F120" s="4" t="str">
        <f t="shared" si="9"/>
        <v>85</v>
      </c>
      <c r="G120" s="4" t="str">
        <f t="shared" si="10"/>
        <v>00872</v>
      </c>
      <c r="H120" s="16">
        <f>IFERROR(VLOOKUP($B120,'SAP 금액'!$A:$C,2,0),0)</f>
        <v>4816830</v>
      </c>
      <c r="I120" s="16">
        <f>IFERROR(VLOOKUP($B120,'SAP 금액'!$A:$C,3,0),0)</f>
        <v>481683</v>
      </c>
      <c r="J120" s="16">
        <f>IFERROR(VLOOKUP(B120,'SAP 금액'!E:F,2,0),0)</f>
        <v>0</v>
      </c>
      <c r="K120" s="16">
        <f>VLOOKUP($B120,'국세청 금액'!$A:$C,2,0)</f>
        <v>4816830</v>
      </c>
      <c r="L120" s="16">
        <f>VLOOKUP($B120,'국세청 금액'!$A:$C,3,0)</f>
        <v>481683</v>
      </c>
      <c r="M120" s="16">
        <f>VLOOKUP(B120,'국세청 금액'!A:D,4,0)</f>
        <v>0</v>
      </c>
      <c r="N120" s="17">
        <f t="shared" si="11"/>
        <v>0</v>
      </c>
      <c r="O120" s="17">
        <f t="shared" si="12"/>
        <v>0</v>
      </c>
      <c r="P120" s="17">
        <f t="shared" si="13"/>
        <v>0</v>
      </c>
      <c r="Q120" s="4" t="b">
        <f t="shared" si="14"/>
        <v>0</v>
      </c>
      <c r="R120" s="4" t="b">
        <f t="shared" si="15"/>
        <v>0</v>
      </c>
    </row>
    <row r="121" spans="2:18" x14ac:dyDescent="0.25">
      <c r="B121" s="15" t="s">
        <v>236</v>
      </c>
      <c r="C121" s="15" t="s">
        <v>237</v>
      </c>
      <c r="D121" s="15" t="s">
        <v>479</v>
      </c>
      <c r="E121" s="4" t="str">
        <f t="shared" si="8"/>
        <v>854</v>
      </c>
      <c r="F121" s="4" t="str">
        <f t="shared" si="9"/>
        <v>85</v>
      </c>
      <c r="G121" s="4" t="str">
        <f t="shared" si="10"/>
        <v>00947</v>
      </c>
      <c r="H121" s="16">
        <f>IFERROR(VLOOKUP($B121,'SAP 금액'!$A:$C,2,0),0)</f>
        <v>72535</v>
      </c>
      <c r="I121" s="16">
        <f>IFERROR(VLOOKUP($B121,'SAP 금액'!$A:$C,3,0),0)</f>
        <v>7253</v>
      </c>
      <c r="J121" s="16">
        <f>IFERROR(VLOOKUP(B121,'SAP 금액'!E:F,2,0),0)</f>
        <v>0</v>
      </c>
      <c r="K121" s="16">
        <f>VLOOKUP($B121,'국세청 금액'!$A:$C,2,0)</f>
        <v>18870575</v>
      </c>
      <c r="L121" s="16">
        <f>VLOOKUP($B121,'국세청 금액'!$A:$C,3,0)</f>
        <v>1887057</v>
      </c>
      <c r="M121" s="16">
        <f>VLOOKUP(B121,'국세청 금액'!A:D,4,0)</f>
        <v>0</v>
      </c>
      <c r="N121" s="17">
        <f t="shared" si="11"/>
        <v>18798040</v>
      </c>
      <c r="O121" s="17">
        <f t="shared" si="12"/>
        <v>1879804</v>
      </c>
      <c r="P121" s="17">
        <f t="shared" si="13"/>
        <v>0</v>
      </c>
      <c r="Q121" s="4" t="b">
        <f t="shared" si="14"/>
        <v>1</v>
      </c>
      <c r="R121" s="4" t="b">
        <f t="shared" si="15"/>
        <v>0</v>
      </c>
    </row>
    <row r="122" spans="2:18" x14ac:dyDescent="0.25">
      <c r="B122" s="15" t="s">
        <v>238</v>
      </c>
      <c r="C122" s="15" t="s">
        <v>239</v>
      </c>
      <c r="D122" s="15" t="s">
        <v>480</v>
      </c>
      <c r="E122" s="4" t="str">
        <f t="shared" si="8"/>
        <v>381</v>
      </c>
      <c r="F122" s="4" t="str">
        <f t="shared" si="9"/>
        <v>85</v>
      </c>
      <c r="G122" s="4" t="str">
        <f t="shared" si="10"/>
        <v>00982</v>
      </c>
      <c r="H122" s="16">
        <f>IFERROR(VLOOKUP($B122,'SAP 금액'!$A:$C,2,0),0)</f>
        <v>0</v>
      </c>
      <c r="I122" s="16">
        <f>IFERROR(VLOOKUP($B122,'SAP 금액'!$A:$C,3,0),0)</f>
        <v>0</v>
      </c>
      <c r="J122" s="16">
        <f>IFERROR(VLOOKUP(B122,'SAP 금액'!E:F,2,0),0)</f>
        <v>0</v>
      </c>
      <c r="K122" s="16">
        <f>VLOOKUP($B122,'국세청 금액'!$A:$C,2,0)</f>
        <v>0</v>
      </c>
      <c r="L122" s="16">
        <f>VLOOKUP($B122,'국세청 금액'!$A:$C,3,0)</f>
        <v>0</v>
      </c>
      <c r="M122" s="16">
        <f>VLOOKUP(B122,'국세청 금액'!A:D,4,0)</f>
        <v>0</v>
      </c>
      <c r="N122" s="17">
        <f t="shared" si="11"/>
        <v>0</v>
      </c>
      <c r="O122" s="17">
        <f t="shared" si="12"/>
        <v>0</v>
      </c>
      <c r="P122" s="17">
        <f t="shared" si="13"/>
        <v>0</v>
      </c>
      <c r="Q122" s="4" t="b">
        <f t="shared" si="14"/>
        <v>0</v>
      </c>
      <c r="R122" s="4" t="b">
        <f t="shared" si="15"/>
        <v>0</v>
      </c>
    </row>
    <row r="123" spans="2:18" x14ac:dyDescent="0.25">
      <c r="B123" s="15" t="s">
        <v>240</v>
      </c>
      <c r="C123" s="15" t="s">
        <v>241</v>
      </c>
      <c r="D123" s="15" t="s">
        <v>481</v>
      </c>
      <c r="E123" s="4" t="str">
        <f t="shared" si="8"/>
        <v>888</v>
      </c>
      <c r="F123" s="4" t="str">
        <f t="shared" si="9"/>
        <v>85</v>
      </c>
      <c r="G123" s="4" t="str">
        <f t="shared" si="10"/>
        <v>01070</v>
      </c>
      <c r="H123" s="16">
        <f>IFERROR(VLOOKUP($B123,'SAP 금액'!$A:$C,2,0),0)</f>
        <v>2861727</v>
      </c>
      <c r="I123" s="16">
        <f>IFERROR(VLOOKUP($B123,'SAP 금액'!$A:$C,3,0),0)</f>
        <v>286173</v>
      </c>
      <c r="J123" s="16">
        <f>IFERROR(VLOOKUP(B123,'SAP 금액'!E:F,2,0),0)</f>
        <v>22321</v>
      </c>
      <c r="K123" s="16">
        <f>VLOOKUP($B123,'국세청 금액'!$A:$C,2,0)</f>
        <v>31682380</v>
      </c>
      <c r="L123" s="16">
        <f>VLOOKUP($B123,'국세청 금액'!$A:$C,3,0)</f>
        <v>3168239</v>
      </c>
      <c r="M123" s="16">
        <f>VLOOKUP(B123,'국세청 금액'!A:D,4,0)</f>
        <v>22321</v>
      </c>
      <c r="N123" s="17">
        <f t="shared" si="11"/>
        <v>28820653</v>
      </c>
      <c r="O123" s="17">
        <f t="shared" si="12"/>
        <v>2882066</v>
      </c>
      <c r="P123" s="17">
        <f t="shared" si="13"/>
        <v>0</v>
      </c>
      <c r="Q123" s="4" t="b">
        <f t="shared" si="14"/>
        <v>1</v>
      </c>
      <c r="R123" s="4" t="b">
        <f t="shared" si="15"/>
        <v>0</v>
      </c>
    </row>
    <row r="124" spans="2:18" x14ac:dyDescent="0.25">
      <c r="B124" s="15" t="s">
        <v>242</v>
      </c>
      <c r="C124" s="15" t="s">
        <v>243</v>
      </c>
      <c r="D124" s="15" t="s">
        <v>482</v>
      </c>
      <c r="E124" s="4" t="str">
        <f t="shared" si="8"/>
        <v>741</v>
      </c>
      <c r="F124" s="4" t="str">
        <f t="shared" si="9"/>
        <v>85</v>
      </c>
      <c r="G124" s="4" t="str">
        <f t="shared" si="10"/>
        <v>00826</v>
      </c>
      <c r="H124" s="16">
        <f>IFERROR(VLOOKUP($B124,'SAP 금액'!$A:$C,2,0),0)</f>
        <v>0</v>
      </c>
      <c r="I124" s="16">
        <f>IFERROR(VLOOKUP($B124,'SAP 금액'!$A:$C,3,0),0)</f>
        <v>0</v>
      </c>
      <c r="J124" s="16">
        <f>IFERROR(VLOOKUP(B124,'SAP 금액'!E:F,2,0),0)</f>
        <v>0</v>
      </c>
      <c r="K124" s="16">
        <f>VLOOKUP($B124,'국세청 금액'!$A:$C,2,0)</f>
        <v>0</v>
      </c>
      <c r="L124" s="16">
        <f>VLOOKUP($B124,'국세청 금액'!$A:$C,3,0)</f>
        <v>0</v>
      </c>
      <c r="M124" s="16">
        <f>VLOOKUP(B124,'국세청 금액'!A:D,4,0)</f>
        <v>0</v>
      </c>
      <c r="N124" s="17">
        <f t="shared" si="11"/>
        <v>0</v>
      </c>
      <c r="O124" s="17">
        <f t="shared" si="12"/>
        <v>0</v>
      </c>
      <c r="P124" s="17">
        <f t="shared" si="13"/>
        <v>0</v>
      </c>
      <c r="Q124" s="4" t="b">
        <f t="shared" si="14"/>
        <v>0</v>
      </c>
      <c r="R124" s="4" t="b">
        <f t="shared" si="15"/>
        <v>0</v>
      </c>
    </row>
    <row r="125" spans="2:18" x14ac:dyDescent="0.25">
      <c r="B125" s="15" t="s">
        <v>244</v>
      </c>
      <c r="C125" s="15" t="s">
        <v>245</v>
      </c>
      <c r="D125" s="15" t="s">
        <v>483</v>
      </c>
      <c r="E125" s="4" t="str">
        <f t="shared" si="8"/>
        <v>356</v>
      </c>
      <c r="F125" s="4" t="str">
        <f t="shared" si="9"/>
        <v>85</v>
      </c>
      <c r="G125" s="4" t="str">
        <f t="shared" si="10"/>
        <v>00841</v>
      </c>
      <c r="H125" s="16">
        <f>IFERROR(VLOOKUP($B125,'SAP 금액'!$A:$C,2,0),0)</f>
        <v>3174470</v>
      </c>
      <c r="I125" s="16">
        <f>IFERROR(VLOOKUP($B125,'SAP 금액'!$A:$C,3,0),0)</f>
        <v>317447</v>
      </c>
      <c r="J125" s="16">
        <f>IFERROR(VLOOKUP(B125,'SAP 금액'!E:F,2,0),0)</f>
        <v>0</v>
      </c>
      <c r="K125" s="16">
        <f>VLOOKUP($B125,'국세청 금액'!$A:$C,2,0)</f>
        <v>3174470</v>
      </c>
      <c r="L125" s="16">
        <f>VLOOKUP($B125,'국세청 금액'!$A:$C,3,0)</f>
        <v>317447</v>
      </c>
      <c r="M125" s="16">
        <f>VLOOKUP(B125,'국세청 금액'!A:D,4,0)</f>
        <v>0</v>
      </c>
      <c r="N125" s="17">
        <f t="shared" si="11"/>
        <v>0</v>
      </c>
      <c r="O125" s="17">
        <f t="shared" si="12"/>
        <v>0</v>
      </c>
      <c r="P125" s="17">
        <f t="shared" si="13"/>
        <v>0</v>
      </c>
      <c r="Q125" s="4" t="b">
        <f t="shared" si="14"/>
        <v>0</v>
      </c>
      <c r="R125" s="4" t="b">
        <f t="shared" si="15"/>
        <v>0</v>
      </c>
    </row>
    <row r="126" spans="2:18" x14ac:dyDescent="0.25">
      <c r="B126" s="15" t="s">
        <v>246</v>
      </c>
      <c r="C126" s="15" t="s">
        <v>247</v>
      </c>
      <c r="D126" s="15" t="s">
        <v>484</v>
      </c>
      <c r="E126" s="4" t="str">
        <f t="shared" si="8"/>
        <v>341</v>
      </c>
      <c r="F126" s="4" t="str">
        <f t="shared" si="9"/>
        <v>85</v>
      </c>
      <c r="G126" s="4" t="str">
        <f t="shared" si="10"/>
        <v>00913</v>
      </c>
      <c r="H126" s="16">
        <f>IFERROR(VLOOKUP($B126,'SAP 금액'!$A:$C,2,0),0)</f>
        <v>5610132</v>
      </c>
      <c r="I126" s="16">
        <f>IFERROR(VLOOKUP($B126,'SAP 금액'!$A:$C,3,0),0)</f>
        <v>561013</v>
      </c>
      <c r="J126" s="16">
        <f>IFERROR(VLOOKUP(B126,'SAP 금액'!E:F,2,0),0)</f>
        <v>0</v>
      </c>
      <c r="K126" s="16">
        <f>VLOOKUP($B126,'국세청 금액'!$A:$C,2,0)</f>
        <v>5610132</v>
      </c>
      <c r="L126" s="16">
        <f>VLOOKUP($B126,'국세청 금액'!$A:$C,3,0)</f>
        <v>561013</v>
      </c>
      <c r="M126" s="16">
        <f>VLOOKUP(B126,'국세청 금액'!A:D,4,0)</f>
        <v>0</v>
      </c>
      <c r="N126" s="17">
        <f t="shared" si="11"/>
        <v>0</v>
      </c>
      <c r="O126" s="17">
        <f t="shared" si="12"/>
        <v>0</v>
      </c>
      <c r="P126" s="17">
        <f t="shared" si="13"/>
        <v>0</v>
      </c>
      <c r="Q126" s="4" t="b">
        <f t="shared" si="14"/>
        <v>0</v>
      </c>
      <c r="R126" s="4" t="b">
        <f t="shared" si="15"/>
        <v>0</v>
      </c>
    </row>
    <row r="127" spans="2:18" x14ac:dyDescent="0.25">
      <c r="B127" s="15" t="s">
        <v>248</v>
      </c>
      <c r="C127" s="15" t="s">
        <v>249</v>
      </c>
      <c r="D127" s="15" t="s">
        <v>485</v>
      </c>
      <c r="E127" s="4" t="str">
        <f t="shared" si="8"/>
        <v>718</v>
      </c>
      <c r="F127" s="4" t="str">
        <f t="shared" si="9"/>
        <v>85</v>
      </c>
      <c r="G127" s="4" t="str">
        <f t="shared" si="10"/>
        <v>00942</v>
      </c>
      <c r="H127" s="16">
        <f>IFERROR(VLOOKUP($B127,'SAP 금액'!$A:$C,2,0),0)</f>
        <v>16278149</v>
      </c>
      <c r="I127" s="16">
        <f>IFERROR(VLOOKUP($B127,'SAP 금액'!$A:$C,3,0),0)</f>
        <v>1627814</v>
      </c>
      <c r="J127" s="16">
        <f>IFERROR(VLOOKUP(B127,'SAP 금액'!E:F,2,0),0)</f>
        <v>165656</v>
      </c>
      <c r="K127" s="16">
        <f>VLOOKUP($B127,'국세청 금액'!$A:$C,2,0)</f>
        <v>18151021</v>
      </c>
      <c r="L127" s="16">
        <f>VLOOKUP($B127,'국세청 금액'!$A:$C,3,0)</f>
        <v>1815101</v>
      </c>
      <c r="M127" s="16">
        <f>VLOOKUP(B127,'국세청 금액'!A:D,4,0)</f>
        <v>165656</v>
      </c>
      <c r="N127" s="17">
        <f t="shared" si="11"/>
        <v>1872872</v>
      </c>
      <c r="O127" s="17">
        <f t="shared" si="12"/>
        <v>187287</v>
      </c>
      <c r="P127" s="17">
        <f t="shared" si="13"/>
        <v>0</v>
      </c>
      <c r="Q127" s="4" t="b">
        <f t="shared" si="14"/>
        <v>1</v>
      </c>
      <c r="R127" s="4" t="b">
        <f t="shared" si="15"/>
        <v>0</v>
      </c>
    </row>
    <row r="128" spans="2:18" x14ac:dyDescent="0.25">
      <c r="B128" s="15" t="s">
        <v>250</v>
      </c>
      <c r="C128" s="15" t="s">
        <v>251</v>
      </c>
      <c r="D128" s="15" t="s">
        <v>486</v>
      </c>
      <c r="E128" s="4" t="str">
        <f t="shared" si="8"/>
        <v>411</v>
      </c>
      <c r="F128" s="4" t="str">
        <f t="shared" si="9"/>
        <v>85</v>
      </c>
      <c r="G128" s="4" t="str">
        <f t="shared" si="10"/>
        <v>22458</v>
      </c>
      <c r="H128" s="16">
        <f>IFERROR(VLOOKUP($B128,'SAP 금액'!$A:$C,2,0),0)</f>
        <v>5464623</v>
      </c>
      <c r="I128" s="16">
        <f>IFERROR(VLOOKUP($B128,'SAP 금액'!$A:$C,3,0),0)</f>
        <v>546462</v>
      </c>
      <c r="J128" s="16">
        <f>IFERROR(VLOOKUP(B128,'SAP 금액'!E:F,2,0),0)</f>
        <v>0</v>
      </c>
      <c r="K128" s="16">
        <f>VLOOKUP($B128,'국세청 금액'!$A:$C,2,0)</f>
        <v>5464623</v>
      </c>
      <c r="L128" s="16">
        <f>VLOOKUP($B128,'국세청 금액'!$A:$C,3,0)</f>
        <v>546462</v>
      </c>
      <c r="M128" s="16">
        <f>VLOOKUP(B128,'국세청 금액'!A:D,4,0)</f>
        <v>0</v>
      </c>
      <c r="N128" s="17">
        <f t="shared" si="11"/>
        <v>0</v>
      </c>
      <c r="O128" s="17">
        <f t="shared" si="12"/>
        <v>0</v>
      </c>
      <c r="P128" s="17">
        <f t="shared" si="13"/>
        <v>0</v>
      </c>
      <c r="Q128" s="4" t="b">
        <f t="shared" si="14"/>
        <v>0</v>
      </c>
      <c r="R128" s="4" t="b">
        <f t="shared" si="15"/>
        <v>0</v>
      </c>
    </row>
    <row r="129" spans="2:18" x14ac:dyDescent="0.25">
      <c r="B129" s="15" t="s">
        <v>252</v>
      </c>
      <c r="C129" s="15" t="s">
        <v>253</v>
      </c>
      <c r="D129" s="15" t="s">
        <v>487</v>
      </c>
      <c r="E129" s="4" t="str">
        <f t="shared" si="8"/>
        <v>535</v>
      </c>
      <c r="F129" s="4" t="str">
        <f t="shared" si="9"/>
        <v>85</v>
      </c>
      <c r="G129" s="4" t="str">
        <f t="shared" si="10"/>
        <v>00992</v>
      </c>
      <c r="H129" s="16">
        <f>IFERROR(VLOOKUP($B129,'SAP 금액'!$A:$C,2,0),0)</f>
        <v>2854132</v>
      </c>
      <c r="I129" s="16">
        <f>IFERROR(VLOOKUP($B129,'SAP 금액'!$A:$C,3,0),0)</f>
        <v>285413</v>
      </c>
      <c r="J129" s="16">
        <f>IFERROR(VLOOKUP(B129,'SAP 금액'!E:F,2,0),0)</f>
        <v>0</v>
      </c>
      <c r="K129" s="16">
        <f>VLOOKUP($B129,'국세청 금액'!$A:$C,2,0)</f>
        <v>2854132</v>
      </c>
      <c r="L129" s="16">
        <f>VLOOKUP($B129,'국세청 금액'!$A:$C,3,0)</f>
        <v>285413</v>
      </c>
      <c r="M129" s="16">
        <f>VLOOKUP(B129,'국세청 금액'!A:D,4,0)</f>
        <v>0</v>
      </c>
      <c r="N129" s="17">
        <f t="shared" si="11"/>
        <v>0</v>
      </c>
      <c r="O129" s="17">
        <f t="shared" si="12"/>
        <v>0</v>
      </c>
      <c r="P129" s="17">
        <f t="shared" si="13"/>
        <v>0</v>
      </c>
      <c r="Q129" s="4" t="b">
        <f t="shared" si="14"/>
        <v>0</v>
      </c>
      <c r="R129" s="4" t="b">
        <f t="shared" si="15"/>
        <v>0</v>
      </c>
    </row>
    <row r="130" spans="2:18" x14ac:dyDescent="0.25">
      <c r="B130" s="15" t="s">
        <v>254</v>
      </c>
      <c r="C130" s="15" t="s">
        <v>255</v>
      </c>
      <c r="D130" s="15" t="s">
        <v>488</v>
      </c>
      <c r="E130" s="4" t="str">
        <f t="shared" si="8"/>
        <v>292</v>
      </c>
      <c r="F130" s="4" t="str">
        <f t="shared" si="9"/>
        <v>85</v>
      </c>
      <c r="G130" s="4" t="str">
        <f t="shared" si="10"/>
        <v>00926</v>
      </c>
      <c r="H130" s="16">
        <f>IFERROR(VLOOKUP($B130,'SAP 금액'!$A:$C,2,0),0)</f>
        <v>25000</v>
      </c>
      <c r="I130" s="16">
        <f>IFERROR(VLOOKUP($B130,'SAP 금액'!$A:$C,3,0),0)</f>
        <v>2500</v>
      </c>
      <c r="J130" s="16">
        <f>IFERROR(VLOOKUP(B130,'SAP 금액'!E:F,2,0),0)</f>
        <v>0</v>
      </c>
      <c r="K130" s="16">
        <f>VLOOKUP($B130,'국세청 금액'!$A:$C,2,0)</f>
        <v>23882072</v>
      </c>
      <c r="L130" s="16">
        <f>VLOOKUP($B130,'국세청 금액'!$A:$C,3,0)</f>
        <v>2388207</v>
      </c>
      <c r="M130" s="16">
        <f>VLOOKUP(B130,'국세청 금액'!A:D,4,0)</f>
        <v>0</v>
      </c>
      <c r="N130" s="17">
        <f t="shared" si="11"/>
        <v>23857072</v>
      </c>
      <c r="O130" s="17">
        <f t="shared" si="12"/>
        <v>2385707</v>
      </c>
      <c r="P130" s="17">
        <f t="shared" si="13"/>
        <v>0</v>
      </c>
      <c r="Q130" s="4" t="b">
        <f t="shared" si="14"/>
        <v>1</v>
      </c>
      <c r="R130" s="4" t="b">
        <f t="shared" si="15"/>
        <v>0</v>
      </c>
    </row>
    <row r="131" spans="2:18" x14ac:dyDescent="0.25">
      <c r="B131" s="15" t="s">
        <v>256</v>
      </c>
      <c r="C131" s="15" t="s">
        <v>257</v>
      </c>
      <c r="D131" s="15" t="s">
        <v>489</v>
      </c>
      <c r="E131" s="4" t="str">
        <f t="shared" si="8"/>
        <v>291</v>
      </c>
      <c r="F131" s="4" t="str">
        <f t="shared" si="9"/>
        <v>85</v>
      </c>
      <c r="G131" s="4" t="str">
        <f t="shared" si="10"/>
        <v>01072</v>
      </c>
      <c r="H131" s="16">
        <f>IFERROR(VLOOKUP($B131,'SAP 금액'!$A:$C,2,0),0)</f>
        <v>35410382</v>
      </c>
      <c r="I131" s="16">
        <f>IFERROR(VLOOKUP($B131,'SAP 금액'!$A:$C,3,0),0)</f>
        <v>3541038</v>
      </c>
      <c r="J131" s="16">
        <f>IFERROR(VLOOKUP(B131,'SAP 금액'!E:F,2,0),0)</f>
        <v>288000</v>
      </c>
      <c r="K131" s="16">
        <f>VLOOKUP($B131,'국세청 금액'!$A:$C,2,0)</f>
        <v>36702743</v>
      </c>
      <c r="L131" s="16">
        <f>VLOOKUP($B131,'국세청 금액'!$A:$C,3,0)</f>
        <v>3670273</v>
      </c>
      <c r="M131" s="16">
        <f>VLOOKUP(B131,'국세청 금액'!A:D,4,0)</f>
        <v>288000</v>
      </c>
      <c r="N131" s="17">
        <f t="shared" si="11"/>
        <v>1292361</v>
      </c>
      <c r="O131" s="17">
        <f t="shared" si="12"/>
        <v>129235</v>
      </c>
      <c r="P131" s="17">
        <f t="shared" si="13"/>
        <v>0</v>
      </c>
      <c r="Q131" s="4" t="b">
        <f t="shared" si="14"/>
        <v>1</v>
      </c>
      <c r="R131" s="4" t="b">
        <f t="shared" si="15"/>
        <v>0</v>
      </c>
    </row>
    <row r="132" spans="2:18" x14ac:dyDescent="0.25">
      <c r="B132" s="15" t="s">
        <v>258</v>
      </c>
      <c r="C132" s="15" t="s">
        <v>259</v>
      </c>
      <c r="D132" s="15" t="s">
        <v>490</v>
      </c>
      <c r="E132" s="4" t="str">
        <f t="shared" ref="E132:E183" si="16">LEFT(D132,3)</f>
        <v>432</v>
      </c>
      <c r="F132" s="4" t="str">
        <f t="shared" ref="F132:F183" si="17">MID(D132,4,2)</f>
        <v>85</v>
      </c>
      <c r="G132" s="4" t="str">
        <f t="shared" ref="G132:G183" si="18">RIGHT(D132,5)</f>
        <v>00844</v>
      </c>
      <c r="H132" s="16">
        <f>IFERROR(VLOOKUP($B132,'SAP 금액'!$A:$C,2,0),0)</f>
        <v>4306259</v>
      </c>
      <c r="I132" s="16">
        <f>IFERROR(VLOOKUP($B132,'SAP 금액'!$A:$C,3,0),0)</f>
        <v>430626</v>
      </c>
      <c r="J132" s="16">
        <f>IFERROR(VLOOKUP(B132,'SAP 금액'!E:F,2,0),0)</f>
        <v>0</v>
      </c>
      <c r="K132" s="16">
        <f>VLOOKUP($B132,'국세청 금액'!$A:$C,2,0)</f>
        <v>4306259</v>
      </c>
      <c r="L132" s="16">
        <f>VLOOKUP($B132,'국세청 금액'!$A:$C,3,0)</f>
        <v>430626</v>
      </c>
      <c r="M132" s="16">
        <f>VLOOKUP(B132,'국세청 금액'!A:D,4,0)</f>
        <v>0</v>
      </c>
      <c r="N132" s="17">
        <f t="shared" si="11"/>
        <v>0</v>
      </c>
      <c r="O132" s="17">
        <f t="shared" si="12"/>
        <v>0</v>
      </c>
      <c r="P132" s="17">
        <f t="shared" si="13"/>
        <v>0</v>
      </c>
      <c r="Q132" s="4" t="b">
        <f t="shared" si="14"/>
        <v>0</v>
      </c>
      <c r="R132" s="4" t="b">
        <f t="shared" si="15"/>
        <v>0</v>
      </c>
    </row>
    <row r="133" spans="2:18" x14ac:dyDescent="0.25">
      <c r="B133" s="15" t="s">
        <v>260</v>
      </c>
      <c r="C133" s="15" t="s">
        <v>261</v>
      </c>
      <c r="D133" s="15" t="s">
        <v>491</v>
      </c>
      <c r="E133" s="4" t="str">
        <f t="shared" si="16"/>
        <v>776</v>
      </c>
      <c r="F133" s="4" t="str">
        <f t="shared" si="17"/>
        <v>85</v>
      </c>
      <c r="G133" s="4" t="str">
        <f t="shared" si="18"/>
        <v>00953</v>
      </c>
      <c r="H133" s="16">
        <f>IFERROR(VLOOKUP($B133,'SAP 금액'!$A:$C,2,0),0)</f>
        <v>68402000</v>
      </c>
      <c r="I133" s="16">
        <f>IFERROR(VLOOKUP($B133,'SAP 금액'!$A:$C,3,0),0)</f>
        <v>6840219</v>
      </c>
      <c r="J133" s="16">
        <f>IFERROR(VLOOKUP(B133,'SAP 금액'!E:F,2,0),0)</f>
        <v>471500</v>
      </c>
      <c r="K133" s="16">
        <f>VLOOKUP($B133,'국세청 금액'!$A:$C,2,0)</f>
        <v>68402000</v>
      </c>
      <c r="L133" s="16">
        <f>VLOOKUP($B133,'국세청 금액'!$A:$C,3,0)</f>
        <v>6840219</v>
      </c>
      <c r="M133" s="16">
        <f>VLOOKUP(B133,'국세청 금액'!A:D,4,0)</f>
        <v>471500</v>
      </c>
      <c r="N133" s="17">
        <f t="shared" si="11"/>
        <v>0</v>
      </c>
      <c r="O133" s="17">
        <f t="shared" si="12"/>
        <v>0</v>
      </c>
      <c r="P133" s="17">
        <f t="shared" si="13"/>
        <v>0</v>
      </c>
      <c r="Q133" s="4" t="b">
        <f t="shared" si="14"/>
        <v>0</v>
      </c>
      <c r="R133" s="4" t="b">
        <f t="shared" si="15"/>
        <v>0</v>
      </c>
    </row>
    <row r="134" spans="2:18" x14ac:dyDescent="0.25">
      <c r="B134" s="15" t="s">
        <v>262</v>
      </c>
      <c r="C134" s="15" t="s">
        <v>263</v>
      </c>
      <c r="D134" s="15" t="s">
        <v>492</v>
      </c>
      <c r="E134" s="4" t="str">
        <f t="shared" si="16"/>
        <v>512</v>
      </c>
      <c r="F134" s="4" t="str">
        <f t="shared" si="17"/>
        <v>85</v>
      </c>
      <c r="G134" s="4" t="str">
        <f t="shared" si="18"/>
        <v>07181</v>
      </c>
      <c r="H134" s="16">
        <f>IFERROR(VLOOKUP($B134,'SAP 금액'!$A:$C,2,0),0)</f>
        <v>106638</v>
      </c>
      <c r="I134" s="16">
        <f>IFERROR(VLOOKUP($B134,'SAP 금액'!$A:$C,3,0),0)</f>
        <v>10663</v>
      </c>
      <c r="J134" s="16">
        <f>IFERROR(VLOOKUP(B134,'SAP 금액'!E:F,2,0),0)</f>
        <v>0</v>
      </c>
      <c r="K134" s="16">
        <f>VLOOKUP($B134,'국세청 금액'!$A:$C,2,0)</f>
        <v>26149165</v>
      </c>
      <c r="L134" s="16">
        <f>VLOOKUP($B134,'국세청 금액'!$A:$C,3,0)</f>
        <v>2614915</v>
      </c>
      <c r="M134" s="16">
        <f>VLOOKUP(B134,'국세청 금액'!A:D,4,0)</f>
        <v>0</v>
      </c>
      <c r="N134" s="17">
        <f t="shared" ref="N134:N183" si="19">K134-H134</f>
        <v>26042527</v>
      </c>
      <c r="O134" s="17">
        <f t="shared" ref="O134:O183" si="20">L134-I134</f>
        <v>2604252</v>
      </c>
      <c r="P134" s="17">
        <f t="shared" ref="P134:P183" si="21">M134-J134</f>
        <v>0</v>
      </c>
      <c r="Q134" s="4" t="b">
        <f t="shared" ref="Q134:Q183" si="22">AND(N134&lt;&gt;0,O134&lt;&gt;0)</f>
        <v>1</v>
      </c>
      <c r="R134" s="4" t="b">
        <f t="shared" ref="R134:R183" si="23">P134&lt;&gt;0</f>
        <v>0</v>
      </c>
    </row>
    <row r="135" spans="2:18" x14ac:dyDescent="0.25">
      <c r="B135" s="15" t="s">
        <v>264</v>
      </c>
      <c r="C135" s="15" t="s">
        <v>265</v>
      </c>
      <c r="D135" s="15" t="s">
        <v>493</v>
      </c>
      <c r="E135" s="4" t="str">
        <f t="shared" si="16"/>
        <v>748</v>
      </c>
      <c r="F135" s="4" t="str">
        <f t="shared" si="17"/>
        <v>85</v>
      </c>
      <c r="G135" s="4" t="str">
        <f t="shared" si="18"/>
        <v>00846</v>
      </c>
      <c r="H135" s="16">
        <f>IFERROR(VLOOKUP($B135,'SAP 금액'!$A:$C,2,0),0)</f>
        <v>-4678</v>
      </c>
      <c r="I135" s="16">
        <f>IFERROR(VLOOKUP($B135,'SAP 금액'!$A:$C,3,0),0)</f>
        <v>-467</v>
      </c>
      <c r="J135" s="16">
        <f>IFERROR(VLOOKUP(B135,'SAP 금액'!E:F,2,0),0)</f>
        <v>0</v>
      </c>
      <c r="K135" s="16">
        <f>VLOOKUP($B135,'국세청 금액'!$A:$C,2,0)</f>
        <v>-4678</v>
      </c>
      <c r="L135" s="16">
        <f>VLOOKUP($B135,'국세청 금액'!$A:$C,3,0)</f>
        <v>-467</v>
      </c>
      <c r="M135" s="16">
        <f>VLOOKUP(B135,'국세청 금액'!A:D,4,0)</f>
        <v>0</v>
      </c>
      <c r="N135" s="17">
        <f t="shared" si="19"/>
        <v>0</v>
      </c>
      <c r="O135" s="17">
        <f t="shared" si="20"/>
        <v>0</v>
      </c>
      <c r="P135" s="17">
        <f t="shared" si="21"/>
        <v>0</v>
      </c>
      <c r="Q135" s="4" t="b">
        <f t="shared" si="22"/>
        <v>0</v>
      </c>
      <c r="R135" s="4" t="b">
        <f t="shared" si="23"/>
        <v>0</v>
      </c>
    </row>
    <row r="136" spans="2:18" x14ac:dyDescent="0.25">
      <c r="B136" s="15" t="s">
        <v>266</v>
      </c>
      <c r="C136" s="15" t="s">
        <v>267</v>
      </c>
      <c r="D136" s="15" t="s">
        <v>494</v>
      </c>
      <c r="E136" s="4" t="str">
        <f t="shared" si="16"/>
        <v>334</v>
      </c>
      <c r="F136" s="4" t="str">
        <f t="shared" si="17"/>
        <v>85</v>
      </c>
      <c r="G136" s="4" t="str">
        <f t="shared" si="18"/>
        <v>00929</v>
      </c>
      <c r="H136" s="16">
        <f>IFERROR(VLOOKUP($B136,'SAP 금액'!$A:$C,2,0),0)</f>
        <v>14746000</v>
      </c>
      <c r="I136" s="16">
        <f>IFERROR(VLOOKUP($B136,'SAP 금액'!$A:$C,3,0),0)</f>
        <v>1474600</v>
      </c>
      <c r="J136" s="16">
        <f>IFERROR(VLOOKUP(B136,'SAP 금액'!E:F,2,0),0)</f>
        <v>0</v>
      </c>
      <c r="K136" s="16">
        <f>VLOOKUP($B136,'국세청 금액'!$A:$C,2,0)</f>
        <v>14746000</v>
      </c>
      <c r="L136" s="16">
        <f>VLOOKUP($B136,'국세청 금액'!$A:$C,3,0)</f>
        <v>1474600</v>
      </c>
      <c r="M136" s="16">
        <f>VLOOKUP(B136,'국세청 금액'!A:D,4,0)</f>
        <v>0</v>
      </c>
      <c r="N136" s="17">
        <f t="shared" si="19"/>
        <v>0</v>
      </c>
      <c r="O136" s="17">
        <f t="shared" si="20"/>
        <v>0</v>
      </c>
      <c r="P136" s="17">
        <f t="shared" si="21"/>
        <v>0</v>
      </c>
      <c r="Q136" s="4" t="b">
        <f t="shared" si="22"/>
        <v>0</v>
      </c>
      <c r="R136" s="4" t="b">
        <f t="shared" si="23"/>
        <v>0</v>
      </c>
    </row>
    <row r="137" spans="2:18" x14ac:dyDescent="0.25">
      <c r="B137" s="15" t="s">
        <v>268</v>
      </c>
      <c r="C137" s="15" t="s">
        <v>269</v>
      </c>
      <c r="D137" s="15" t="s">
        <v>495</v>
      </c>
      <c r="E137" s="4" t="str">
        <f t="shared" si="16"/>
        <v>341</v>
      </c>
      <c r="F137" s="4" t="str">
        <f t="shared" si="17"/>
        <v>85</v>
      </c>
      <c r="G137" s="4" t="str">
        <f t="shared" si="18"/>
        <v>00984</v>
      </c>
      <c r="H137" s="16">
        <f>IFERROR(VLOOKUP($B137,'SAP 금액'!$A:$C,2,0),0)</f>
        <v>7845747</v>
      </c>
      <c r="I137" s="16">
        <f>IFERROR(VLOOKUP($B137,'SAP 금액'!$A:$C,3,0),0)</f>
        <v>784575</v>
      </c>
      <c r="J137" s="16">
        <f>IFERROR(VLOOKUP(B137,'SAP 금액'!E:F,2,0),0)</f>
        <v>0</v>
      </c>
      <c r="K137" s="16">
        <f>VLOOKUP($B137,'국세청 금액'!$A:$C,2,0)</f>
        <v>7845747</v>
      </c>
      <c r="L137" s="16">
        <f>VLOOKUP($B137,'국세청 금액'!$A:$C,3,0)</f>
        <v>784575</v>
      </c>
      <c r="M137" s="16">
        <f>VLOOKUP(B137,'국세청 금액'!A:D,4,0)</f>
        <v>0</v>
      </c>
      <c r="N137" s="17">
        <f t="shared" si="19"/>
        <v>0</v>
      </c>
      <c r="O137" s="17">
        <f t="shared" si="20"/>
        <v>0</v>
      </c>
      <c r="P137" s="17">
        <f t="shared" si="21"/>
        <v>0</v>
      </c>
      <c r="Q137" s="4" t="b">
        <f t="shared" si="22"/>
        <v>0</v>
      </c>
      <c r="R137" s="4" t="b">
        <f t="shared" si="23"/>
        <v>0</v>
      </c>
    </row>
    <row r="138" spans="2:18" x14ac:dyDescent="0.25">
      <c r="B138" s="15" t="s">
        <v>270</v>
      </c>
      <c r="C138" s="15" t="s">
        <v>271</v>
      </c>
      <c r="D138" s="15" t="s">
        <v>496</v>
      </c>
      <c r="E138" s="4" t="str">
        <f t="shared" si="16"/>
        <v>203</v>
      </c>
      <c r="F138" s="4" t="str">
        <f t="shared" si="17"/>
        <v>85</v>
      </c>
      <c r="G138" s="4" t="str">
        <f t="shared" si="18"/>
        <v>35371</v>
      </c>
      <c r="H138" s="16">
        <f>IFERROR(VLOOKUP($B138,'SAP 금액'!$A:$C,2,0),0)</f>
        <v>0</v>
      </c>
      <c r="I138" s="16">
        <f>IFERROR(VLOOKUP($B138,'SAP 금액'!$A:$C,3,0),0)</f>
        <v>0</v>
      </c>
      <c r="J138" s="16">
        <f>IFERROR(VLOOKUP(B138,'SAP 금액'!E:F,2,0),0)</f>
        <v>0</v>
      </c>
      <c r="K138" s="16">
        <f>VLOOKUP($B138,'국세청 금액'!$A:$C,2,0)</f>
        <v>0</v>
      </c>
      <c r="L138" s="16">
        <f>VLOOKUP($B138,'국세청 금액'!$A:$C,3,0)</f>
        <v>0</v>
      </c>
      <c r="M138" s="16">
        <f>VLOOKUP(B138,'국세청 금액'!A:D,4,0)</f>
        <v>0</v>
      </c>
      <c r="N138" s="17">
        <f t="shared" si="19"/>
        <v>0</v>
      </c>
      <c r="O138" s="17">
        <f t="shared" si="20"/>
        <v>0</v>
      </c>
      <c r="P138" s="17">
        <f t="shared" si="21"/>
        <v>0</v>
      </c>
      <c r="Q138" s="4" t="b">
        <f t="shared" si="22"/>
        <v>0</v>
      </c>
      <c r="R138" s="4" t="b">
        <f t="shared" si="23"/>
        <v>0</v>
      </c>
    </row>
    <row r="139" spans="2:18" x14ac:dyDescent="0.25">
      <c r="B139" s="15" t="s">
        <v>272</v>
      </c>
      <c r="C139" s="15" t="s">
        <v>273</v>
      </c>
      <c r="D139" s="15" t="s">
        <v>497</v>
      </c>
      <c r="E139" s="4" t="str">
        <f t="shared" si="16"/>
        <v>642</v>
      </c>
      <c r="F139" s="4" t="str">
        <f t="shared" si="17"/>
        <v>85</v>
      </c>
      <c r="G139" s="4" t="str">
        <f t="shared" si="18"/>
        <v>01149</v>
      </c>
      <c r="H139" s="16">
        <f>IFERROR(VLOOKUP($B139,'SAP 금액'!$A:$C,2,0),0)</f>
        <v>19932789</v>
      </c>
      <c r="I139" s="16">
        <f>IFERROR(VLOOKUP($B139,'SAP 금액'!$A:$C,3,0),0)</f>
        <v>1993278</v>
      </c>
      <c r="J139" s="16">
        <f>IFERROR(VLOOKUP(B139,'SAP 금액'!E:F,2,0),0)</f>
        <v>74520</v>
      </c>
      <c r="K139" s="16">
        <f>VLOOKUP($B139,'국세청 금액'!$A:$C,2,0)</f>
        <v>19932789</v>
      </c>
      <c r="L139" s="16">
        <f>VLOOKUP($B139,'국세청 금액'!$A:$C,3,0)</f>
        <v>1993278</v>
      </c>
      <c r="M139" s="16">
        <f>VLOOKUP(B139,'국세청 금액'!A:D,4,0)</f>
        <v>74520</v>
      </c>
      <c r="N139" s="17">
        <f t="shared" si="19"/>
        <v>0</v>
      </c>
      <c r="O139" s="17">
        <f t="shared" si="20"/>
        <v>0</v>
      </c>
      <c r="P139" s="17">
        <f t="shared" si="21"/>
        <v>0</v>
      </c>
      <c r="Q139" s="4" t="b">
        <f t="shared" si="22"/>
        <v>0</v>
      </c>
      <c r="R139" s="4" t="b">
        <f t="shared" si="23"/>
        <v>0</v>
      </c>
    </row>
    <row r="140" spans="2:18" x14ac:dyDescent="0.25">
      <c r="B140" s="15" t="s">
        <v>274</v>
      </c>
      <c r="C140" s="15" t="s">
        <v>275</v>
      </c>
      <c r="D140" s="15" t="s">
        <v>498</v>
      </c>
      <c r="E140" s="4" t="str">
        <f t="shared" si="16"/>
        <v>107</v>
      </c>
      <c r="F140" s="4" t="str">
        <f t="shared" si="17"/>
        <v>85</v>
      </c>
      <c r="G140" s="4" t="str">
        <f t="shared" si="18"/>
        <v>56063</v>
      </c>
      <c r="H140" s="16">
        <f>IFERROR(VLOOKUP($B140,'SAP 금액'!$A:$C,2,0),0)</f>
        <v>5014557</v>
      </c>
      <c r="I140" s="16">
        <f>IFERROR(VLOOKUP($B140,'SAP 금액'!$A:$C,3,0),0)</f>
        <v>501456</v>
      </c>
      <c r="J140" s="16">
        <f>IFERROR(VLOOKUP(B140,'SAP 금액'!E:F,2,0),0)</f>
        <v>0</v>
      </c>
      <c r="K140" s="16">
        <f>VLOOKUP($B140,'국세청 금액'!$A:$C,2,0)</f>
        <v>5014557</v>
      </c>
      <c r="L140" s="16">
        <f>VLOOKUP($B140,'국세청 금액'!$A:$C,3,0)</f>
        <v>501456</v>
      </c>
      <c r="M140" s="16">
        <f>VLOOKUP(B140,'국세청 금액'!A:D,4,0)</f>
        <v>0</v>
      </c>
      <c r="N140" s="17">
        <f t="shared" si="19"/>
        <v>0</v>
      </c>
      <c r="O140" s="17">
        <f t="shared" si="20"/>
        <v>0</v>
      </c>
      <c r="P140" s="17">
        <f t="shared" si="21"/>
        <v>0</v>
      </c>
      <c r="Q140" s="4" t="b">
        <f t="shared" si="22"/>
        <v>0</v>
      </c>
      <c r="R140" s="4" t="b">
        <f t="shared" si="23"/>
        <v>0</v>
      </c>
    </row>
    <row r="141" spans="2:18" x14ac:dyDescent="0.25">
      <c r="B141" s="15" t="s">
        <v>276</v>
      </c>
      <c r="C141" s="15" t="s">
        <v>277</v>
      </c>
      <c r="D141" s="15" t="s">
        <v>499</v>
      </c>
      <c r="E141" s="4" t="str">
        <f t="shared" si="16"/>
        <v>561</v>
      </c>
      <c r="F141" s="4" t="str">
        <f t="shared" si="17"/>
        <v>85</v>
      </c>
      <c r="G141" s="4" t="str">
        <f t="shared" si="18"/>
        <v>01307</v>
      </c>
      <c r="H141" s="16">
        <f>IFERROR(VLOOKUP($B141,'SAP 금액'!$A:$C,2,0),0)</f>
        <v>28043251</v>
      </c>
      <c r="I141" s="16">
        <f>IFERROR(VLOOKUP($B141,'SAP 금액'!$A:$C,3,0),0)</f>
        <v>2804326</v>
      </c>
      <c r="J141" s="16">
        <f>IFERROR(VLOOKUP(B141,'SAP 금액'!E:F,2,0),0)</f>
        <v>0</v>
      </c>
      <c r="K141" s="16">
        <f>VLOOKUP($B141,'국세청 금액'!$A:$C,2,0)</f>
        <v>28043251</v>
      </c>
      <c r="L141" s="16">
        <f>VLOOKUP($B141,'국세청 금액'!$A:$C,3,0)</f>
        <v>2804326</v>
      </c>
      <c r="M141" s="16">
        <f>VLOOKUP(B141,'국세청 금액'!A:D,4,0)</f>
        <v>0</v>
      </c>
      <c r="N141" s="17">
        <f t="shared" si="19"/>
        <v>0</v>
      </c>
      <c r="O141" s="17">
        <f t="shared" si="20"/>
        <v>0</v>
      </c>
      <c r="P141" s="17">
        <f t="shared" si="21"/>
        <v>0</v>
      </c>
      <c r="Q141" s="4" t="b">
        <f t="shared" si="22"/>
        <v>0</v>
      </c>
      <c r="R141" s="4" t="b">
        <f t="shared" si="23"/>
        <v>0</v>
      </c>
    </row>
    <row r="142" spans="2:18" x14ac:dyDescent="0.25">
      <c r="B142" s="15" t="s">
        <v>278</v>
      </c>
      <c r="C142" s="15" t="s">
        <v>279</v>
      </c>
      <c r="D142" s="15" t="s">
        <v>500</v>
      </c>
      <c r="E142" s="4" t="str">
        <f t="shared" si="16"/>
        <v>448</v>
      </c>
      <c r="F142" s="4" t="str">
        <f t="shared" si="17"/>
        <v>85</v>
      </c>
      <c r="G142" s="4" t="str">
        <f t="shared" si="18"/>
        <v>01154</v>
      </c>
      <c r="H142" s="16">
        <f>IFERROR(VLOOKUP($B142,'SAP 금액'!$A:$C,2,0),0)</f>
        <v>40147547</v>
      </c>
      <c r="I142" s="16">
        <f>IFERROR(VLOOKUP($B142,'SAP 금액'!$A:$C,3,0),0)</f>
        <v>4014754</v>
      </c>
      <c r="J142" s="16">
        <f>IFERROR(VLOOKUP(B142,'SAP 금액'!E:F,2,0),0)</f>
        <v>158037</v>
      </c>
      <c r="K142" s="16">
        <f>VLOOKUP($B142,'국세청 금액'!$A:$C,2,0)</f>
        <v>40147547</v>
      </c>
      <c r="L142" s="16">
        <f>VLOOKUP($B142,'국세청 금액'!$A:$C,3,0)</f>
        <v>4014754</v>
      </c>
      <c r="M142" s="16">
        <f>VLOOKUP(B142,'국세청 금액'!A:D,4,0)</f>
        <v>158037</v>
      </c>
      <c r="N142" s="17">
        <f t="shared" si="19"/>
        <v>0</v>
      </c>
      <c r="O142" s="17">
        <f t="shared" si="20"/>
        <v>0</v>
      </c>
      <c r="P142" s="17">
        <f t="shared" si="21"/>
        <v>0</v>
      </c>
      <c r="Q142" s="4" t="b">
        <f t="shared" si="22"/>
        <v>0</v>
      </c>
      <c r="R142" s="4" t="b">
        <f t="shared" si="23"/>
        <v>0</v>
      </c>
    </row>
    <row r="143" spans="2:18" x14ac:dyDescent="0.25">
      <c r="B143" s="15" t="s">
        <v>280</v>
      </c>
      <c r="C143" s="15" t="s">
        <v>281</v>
      </c>
      <c r="D143" s="15" t="s">
        <v>501</v>
      </c>
      <c r="E143" s="4" t="str">
        <f t="shared" si="16"/>
        <v>818</v>
      </c>
      <c r="F143" s="4" t="str">
        <f t="shared" si="17"/>
        <v>85</v>
      </c>
      <c r="G143" s="4" t="str">
        <f t="shared" si="18"/>
        <v>01071</v>
      </c>
      <c r="H143" s="16">
        <f>IFERROR(VLOOKUP($B143,'SAP 금액'!$A:$C,2,0),0)</f>
        <v>2596634</v>
      </c>
      <c r="I143" s="16">
        <f>IFERROR(VLOOKUP($B143,'SAP 금액'!$A:$C,3,0),0)</f>
        <v>259663</v>
      </c>
      <c r="J143" s="16">
        <f>IFERROR(VLOOKUP(B143,'SAP 금액'!E:F,2,0),0)</f>
        <v>0</v>
      </c>
      <c r="K143" s="16">
        <f>VLOOKUP($B143,'국세청 금액'!$A:$C,2,0)</f>
        <v>2596634</v>
      </c>
      <c r="L143" s="16">
        <f>VLOOKUP($B143,'국세청 금액'!$A:$C,3,0)</f>
        <v>259663</v>
      </c>
      <c r="M143" s="16">
        <f>VLOOKUP(B143,'국세청 금액'!A:D,4,0)</f>
        <v>0</v>
      </c>
      <c r="N143" s="17">
        <f t="shared" si="19"/>
        <v>0</v>
      </c>
      <c r="O143" s="17">
        <f t="shared" si="20"/>
        <v>0</v>
      </c>
      <c r="P143" s="17">
        <f t="shared" si="21"/>
        <v>0</v>
      </c>
      <c r="Q143" s="4" t="b">
        <f t="shared" si="22"/>
        <v>0</v>
      </c>
      <c r="R143" s="4" t="b">
        <f t="shared" si="23"/>
        <v>0</v>
      </c>
    </row>
    <row r="144" spans="2:18" x14ac:dyDescent="0.25">
      <c r="B144" s="15" t="s">
        <v>282</v>
      </c>
      <c r="C144" s="15" t="s">
        <v>283</v>
      </c>
      <c r="D144" s="15" t="s">
        <v>502</v>
      </c>
      <c r="E144" s="4" t="str">
        <f t="shared" si="16"/>
        <v>649</v>
      </c>
      <c r="F144" s="4" t="str">
        <f t="shared" si="17"/>
        <v>85</v>
      </c>
      <c r="G144" s="4" t="str">
        <f t="shared" si="18"/>
        <v>01005</v>
      </c>
      <c r="H144" s="16">
        <f>IFERROR(VLOOKUP($B144,'SAP 금액'!$A:$C,2,0),0)</f>
        <v>4464737</v>
      </c>
      <c r="I144" s="16">
        <f>IFERROR(VLOOKUP($B144,'SAP 금액'!$A:$C,3,0),0)</f>
        <v>446474</v>
      </c>
      <c r="J144" s="16">
        <f>IFERROR(VLOOKUP(B144,'SAP 금액'!E:F,2,0),0)</f>
        <v>0</v>
      </c>
      <c r="K144" s="16">
        <f>VLOOKUP($B144,'국세청 금액'!$A:$C,2,0)</f>
        <v>4464737</v>
      </c>
      <c r="L144" s="16">
        <f>VLOOKUP($B144,'국세청 금액'!$A:$C,3,0)</f>
        <v>446474</v>
      </c>
      <c r="M144" s="16">
        <f>VLOOKUP(B144,'국세청 금액'!A:D,4,0)</f>
        <v>0</v>
      </c>
      <c r="N144" s="17">
        <f t="shared" si="19"/>
        <v>0</v>
      </c>
      <c r="O144" s="17">
        <f t="shared" si="20"/>
        <v>0</v>
      </c>
      <c r="P144" s="17">
        <f t="shared" si="21"/>
        <v>0</v>
      </c>
      <c r="Q144" s="4" t="b">
        <f t="shared" si="22"/>
        <v>0</v>
      </c>
      <c r="R144" s="4" t="b">
        <f t="shared" si="23"/>
        <v>0</v>
      </c>
    </row>
    <row r="145" spans="2:18" x14ac:dyDescent="0.25">
      <c r="B145" s="15" t="s">
        <v>284</v>
      </c>
      <c r="C145" s="15" t="s">
        <v>285</v>
      </c>
      <c r="D145" s="15" t="s">
        <v>503</v>
      </c>
      <c r="E145" s="4" t="str">
        <f t="shared" si="16"/>
        <v>246</v>
      </c>
      <c r="F145" s="4" t="str">
        <f t="shared" si="17"/>
        <v>85</v>
      </c>
      <c r="G145" s="4" t="str">
        <f t="shared" si="18"/>
        <v>01198</v>
      </c>
      <c r="H145" s="16">
        <f>IFERROR(VLOOKUP($B145,'SAP 금액'!$A:$C,2,0),0)</f>
        <v>41200</v>
      </c>
      <c r="I145" s="16">
        <f>IFERROR(VLOOKUP($B145,'SAP 금액'!$A:$C,3,0),0)</f>
        <v>4120</v>
      </c>
      <c r="J145" s="16">
        <f>IFERROR(VLOOKUP(B145,'SAP 금액'!E:F,2,0),0)</f>
        <v>0</v>
      </c>
      <c r="K145" s="16">
        <f>VLOOKUP($B145,'국세청 금액'!$A:$C,2,0)</f>
        <v>41200</v>
      </c>
      <c r="L145" s="16">
        <f>VLOOKUP($B145,'국세청 금액'!$A:$C,3,0)</f>
        <v>4120</v>
      </c>
      <c r="M145" s="16">
        <f>VLOOKUP(B145,'국세청 금액'!A:D,4,0)</f>
        <v>0</v>
      </c>
      <c r="N145" s="17">
        <f t="shared" si="19"/>
        <v>0</v>
      </c>
      <c r="O145" s="17">
        <f t="shared" si="20"/>
        <v>0</v>
      </c>
      <c r="P145" s="17">
        <f t="shared" si="21"/>
        <v>0</v>
      </c>
      <c r="Q145" s="4" t="b">
        <f t="shared" si="22"/>
        <v>0</v>
      </c>
      <c r="R145" s="4" t="b">
        <f t="shared" si="23"/>
        <v>0</v>
      </c>
    </row>
    <row r="146" spans="2:18" x14ac:dyDescent="0.25">
      <c r="B146" s="15" t="s">
        <v>286</v>
      </c>
      <c r="C146" s="15" t="s">
        <v>287</v>
      </c>
      <c r="D146" s="15" t="s">
        <v>504</v>
      </c>
      <c r="E146" s="4" t="str">
        <f t="shared" si="16"/>
        <v>641</v>
      </c>
      <c r="F146" s="4" t="str">
        <f t="shared" si="17"/>
        <v>85</v>
      </c>
      <c r="G146" s="4" t="str">
        <f t="shared" si="18"/>
        <v>01108</v>
      </c>
      <c r="H146" s="16">
        <f>IFERROR(VLOOKUP($B146,'SAP 금액'!$A:$C,2,0),0)</f>
        <v>69459708</v>
      </c>
      <c r="I146" s="16">
        <f>IFERROR(VLOOKUP($B146,'SAP 금액'!$A:$C,3,0),0)</f>
        <v>6945970</v>
      </c>
      <c r="J146" s="16">
        <f>IFERROR(VLOOKUP(B146,'SAP 금액'!E:F,2,0),0)</f>
        <v>41383</v>
      </c>
      <c r="K146" s="16">
        <f>VLOOKUP($B146,'국세청 금액'!$A:$C,2,0)</f>
        <v>69459708</v>
      </c>
      <c r="L146" s="16">
        <f>VLOOKUP($B146,'국세청 금액'!$A:$C,3,0)</f>
        <v>6945970</v>
      </c>
      <c r="M146" s="16">
        <f>VLOOKUP(B146,'국세청 금액'!A:D,4,0)</f>
        <v>41383</v>
      </c>
      <c r="N146" s="17">
        <f t="shared" si="19"/>
        <v>0</v>
      </c>
      <c r="O146" s="17">
        <f t="shared" si="20"/>
        <v>0</v>
      </c>
      <c r="P146" s="17">
        <f t="shared" si="21"/>
        <v>0</v>
      </c>
      <c r="Q146" s="4" t="b">
        <f t="shared" si="22"/>
        <v>0</v>
      </c>
      <c r="R146" s="4" t="b">
        <f t="shared" si="23"/>
        <v>0</v>
      </c>
    </row>
    <row r="147" spans="2:18" x14ac:dyDescent="0.25">
      <c r="B147" s="15" t="s">
        <v>288</v>
      </c>
      <c r="C147" s="15" t="s">
        <v>289</v>
      </c>
      <c r="D147" s="15" t="s">
        <v>505</v>
      </c>
      <c r="E147" s="4" t="str">
        <f t="shared" si="16"/>
        <v>439</v>
      </c>
      <c r="F147" s="4" t="str">
        <f t="shared" si="17"/>
        <v>85</v>
      </c>
      <c r="G147" s="4" t="str">
        <f t="shared" si="18"/>
        <v>01179</v>
      </c>
      <c r="H147" s="16">
        <f>IFERROR(VLOOKUP($B147,'SAP 금액'!$A:$C,2,0),0)</f>
        <v>3769548</v>
      </c>
      <c r="I147" s="16">
        <f>IFERROR(VLOOKUP($B147,'SAP 금액'!$A:$C,3,0),0)</f>
        <v>376954</v>
      </c>
      <c r="J147" s="16">
        <f>IFERROR(VLOOKUP(B147,'SAP 금액'!E:F,2,0),0)</f>
        <v>0</v>
      </c>
      <c r="K147" s="16">
        <f>VLOOKUP($B147,'국세청 금액'!$A:$C,2,0)</f>
        <v>3769548</v>
      </c>
      <c r="L147" s="16">
        <f>VLOOKUP($B147,'국세청 금액'!$A:$C,3,0)</f>
        <v>376954</v>
      </c>
      <c r="M147" s="16">
        <f>VLOOKUP(B147,'국세청 금액'!A:D,4,0)</f>
        <v>0</v>
      </c>
      <c r="N147" s="17">
        <f t="shared" si="19"/>
        <v>0</v>
      </c>
      <c r="O147" s="17">
        <f t="shared" si="20"/>
        <v>0</v>
      </c>
      <c r="P147" s="17">
        <f t="shared" si="21"/>
        <v>0</v>
      </c>
      <c r="Q147" s="4" t="b">
        <f t="shared" si="22"/>
        <v>0</v>
      </c>
      <c r="R147" s="4" t="b">
        <f t="shared" si="23"/>
        <v>0</v>
      </c>
    </row>
    <row r="148" spans="2:18" x14ac:dyDescent="0.25">
      <c r="B148" s="15" t="s">
        <v>290</v>
      </c>
      <c r="C148" s="15" t="s">
        <v>291</v>
      </c>
      <c r="D148" s="15" t="s">
        <v>506</v>
      </c>
      <c r="E148" s="4" t="str">
        <f t="shared" si="16"/>
        <v>305</v>
      </c>
      <c r="F148" s="4" t="str">
        <f t="shared" si="17"/>
        <v>85</v>
      </c>
      <c r="G148" s="4" t="str">
        <f t="shared" si="18"/>
        <v>44405</v>
      </c>
      <c r="H148" s="16">
        <f>IFERROR(VLOOKUP($B148,'SAP 금액'!$A:$C,2,0),0)</f>
        <v>0</v>
      </c>
      <c r="I148" s="16">
        <f>IFERROR(VLOOKUP($B148,'SAP 금액'!$A:$C,3,0),0)</f>
        <v>0</v>
      </c>
      <c r="J148" s="16">
        <f>IFERROR(VLOOKUP(B148,'SAP 금액'!E:F,2,0),0)</f>
        <v>0</v>
      </c>
      <c r="K148" s="16">
        <f>VLOOKUP($B148,'국세청 금액'!$A:$C,2,0)</f>
        <v>78583222</v>
      </c>
      <c r="L148" s="16">
        <f>VLOOKUP($B148,'국세청 금액'!$A:$C,3,0)</f>
        <v>7858324</v>
      </c>
      <c r="M148" s="16">
        <f>VLOOKUP(B148,'국세청 금액'!A:D,4,0)</f>
        <v>0</v>
      </c>
      <c r="N148" s="17">
        <f t="shared" si="19"/>
        <v>78583222</v>
      </c>
      <c r="O148" s="17">
        <f t="shared" si="20"/>
        <v>7858324</v>
      </c>
      <c r="P148" s="17">
        <f t="shared" si="21"/>
        <v>0</v>
      </c>
      <c r="Q148" s="4" t="b">
        <f t="shared" si="22"/>
        <v>1</v>
      </c>
      <c r="R148" s="4" t="b">
        <f t="shared" si="23"/>
        <v>0</v>
      </c>
    </row>
    <row r="149" spans="2:18" x14ac:dyDescent="0.25">
      <c r="B149" s="15" t="s">
        <v>292</v>
      </c>
      <c r="C149" s="15" t="s">
        <v>293</v>
      </c>
      <c r="D149" s="15" t="s">
        <v>507</v>
      </c>
      <c r="E149" s="4" t="str">
        <f t="shared" si="16"/>
        <v>303</v>
      </c>
      <c r="F149" s="4" t="str">
        <f t="shared" si="17"/>
        <v>85</v>
      </c>
      <c r="G149" s="4" t="str">
        <f t="shared" si="18"/>
        <v>29897</v>
      </c>
      <c r="H149" s="16">
        <f>IFERROR(VLOOKUP($B149,'SAP 금액'!$A:$C,2,0),0)</f>
        <v>86667160</v>
      </c>
      <c r="I149" s="16">
        <f>IFERROR(VLOOKUP($B149,'SAP 금액'!$A:$C,3,0),0)</f>
        <v>8666717</v>
      </c>
      <c r="J149" s="16">
        <f>IFERROR(VLOOKUP(B149,'SAP 금액'!E:F,2,0),0)</f>
        <v>0</v>
      </c>
      <c r="K149" s="16">
        <f>VLOOKUP($B149,'국세청 금액'!$A:$C,2,0)</f>
        <v>86667160</v>
      </c>
      <c r="L149" s="16">
        <f>VLOOKUP($B149,'국세청 금액'!$A:$C,3,0)</f>
        <v>8666717</v>
      </c>
      <c r="M149" s="16">
        <f>VLOOKUP(B149,'국세청 금액'!A:D,4,0)</f>
        <v>0</v>
      </c>
      <c r="N149" s="17">
        <f t="shared" si="19"/>
        <v>0</v>
      </c>
      <c r="O149" s="17">
        <f t="shared" si="20"/>
        <v>0</v>
      </c>
      <c r="P149" s="17">
        <f t="shared" si="21"/>
        <v>0</v>
      </c>
      <c r="Q149" s="4" t="b">
        <f t="shared" si="22"/>
        <v>0</v>
      </c>
      <c r="R149" s="4" t="b">
        <f t="shared" si="23"/>
        <v>0</v>
      </c>
    </row>
    <row r="150" spans="2:18" x14ac:dyDescent="0.25">
      <c r="B150" s="15" t="s">
        <v>294</v>
      </c>
      <c r="C150" s="15" t="s">
        <v>295</v>
      </c>
      <c r="D150" s="15" t="s">
        <v>508</v>
      </c>
      <c r="E150" s="4" t="str">
        <f t="shared" si="16"/>
        <v>474</v>
      </c>
      <c r="F150" s="4" t="str">
        <f t="shared" si="17"/>
        <v>85</v>
      </c>
      <c r="G150" s="4" t="str">
        <f t="shared" si="18"/>
        <v>01264</v>
      </c>
      <c r="H150" s="16">
        <f>IFERROR(VLOOKUP($B150,'SAP 금액'!$A:$C,2,0),0)</f>
        <v>13504278</v>
      </c>
      <c r="I150" s="16">
        <f>IFERROR(VLOOKUP($B150,'SAP 금액'!$A:$C,3,0),0)</f>
        <v>1350425</v>
      </c>
      <c r="J150" s="16">
        <f>IFERROR(VLOOKUP(B150,'SAP 금액'!E:F,2,0),0)</f>
        <v>54274</v>
      </c>
      <c r="K150" s="16">
        <f>VLOOKUP($B150,'국세청 금액'!$A:$C,2,0)</f>
        <v>13504278</v>
      </c>
      <c r="L150" s="16">
        <f>VLOOKUP($B150,'국세청 금액'!$A:$C,3,0)</f>
        <v>1350425</v>
      </c>
      <c r="M150" s="16">
        <f>VLOOKUP(B150,'국세청 금액'!A:D,4,0)</f>
        <v>54274</v>
      </c>
      <c r="N150" s="17">
        <f t="shared" si="19"/>
        <v>0</v>
      </c>
      <c r="O150" s="17">
        <f t="shared" si="20"/>
        <v>0</v>
      </c>
      <c r="P150" s="17">
        <f t="shared" si="21"/>
        <v>0</v>
      </c>
      <c r="Q150" s="4" t="b">
        <f t="shared" si="22"/>
        <v>0</v>
      </c>
      <c r="R150" s="4" t="b">
        <f t="shared" si="23"/>
        <v>0</v>
      </c>
    </row>
    <row r="151" spans="2:18" x14ac:dyDescent="0.25">
      <c r="B151" s="15" t="s">
        <v>296</v>
      </c>
      <c r="C151" s="15" t="s">
        <v>297</v>
      </c>
      <c r="D151" s="15" t="s">
        <v>509</v>
      </c>
      <c r="E151" s="4" t="str">
        <f t="shared" si="16"/>
        <v>522</v>
      </c>
      <c r="F151" s="4" t="str">
        <f t="shared" si="17"/>
        <v>85</v>
      </c>
      <c r="G151" s="4" t="str">
        <f t="shared" si="18"/>
        <v>01243</v>
      </c>
      <c r="H151" s="16">
        <f>IFERROR(VLOOKUP($B151,'SAP 금액'!$A:$C,2,0),0)</f>
        <v>12937245</v>
      </c>
      <c r="I151" s="16">
        <f>IFERROR(VLOOKUP($B151,'SAP 금액'!$A:$C,3,0),0)</f>
        <v>1293721</v>
      </c>
      <c r="J151" s="16">
        <f>IFERROR(VLOOKUP(B151,'SAP 금액'!E:F,2,0),0)</f>
        <v>0</v>
      </c>
      <c r="K151" s="16">
        <f>VLOOKUP($B151,'국세청 금액'!$A:$C,2,0)</f>
        <v>12938029</v>
      </c>
      <c r="L151" s="16">
        <f>VLOOKUP($B151,'국세청 금액'!$A:$C,3,0)</f>
        <v>1293799</v>
      </c>
      <c r="M151" s="16">
        <f>VLOOKUP(B151,'국세청 금액'!A:D,4,0)</f>
        <v>0</v>
      </c>
      <c r="N151" s="17">
        <f t="shared" si="19"/>
        <v>784</v>
      </c>
      <c r="O151" s="17">
        <f t="shared" si="20"/>
        <v>78</v>
      </c>
      <c r="P151" s="17">
        <f t="shared" si="21"/>
        <v>0</v>
      </c>
      <c r="Q151" s="4" t="b">
        <f t="shared" si="22"/>
        <v>1</v>
      </c>
      <c r="R151" s="4" t="b">
        <f t="shared" si="23"/>
        <v>0</v>
      </c>
    </row>
    <row r="152" spans="2:18" x14ac:dyDescent="0.25">
      <c r="B152" s="15" t="s">
        <v>298</v>
      </c>
      <c r="C152" s="15" t="s">
        <v>299</v>
      </c>
      <c r="D152" s="15" t="s">
        <v>510</v>
      </c>
      <c r="E152" s="4" t="str">
        <f t="shared" si="16"/>
        <v>529</v>
      </c>
      <c r="F152" s="4" t="str">
        <f t="shared" si="17"/>
        <v>85</v>
      </c>
      <c r="G152" s="4" t="str">
        <f t="shared" si="18"/>
        <v>01185</v>
      </c>
      <c r="H152" s="16">
        <f>IFERROR(VLOOKUP($B152,'SAP 금액'!$A:$C,2,0),0)</f>
        <v>14673017</v>
      </c>
      <c r="I152" s="16">
        <f>IFERROR(VLOOKUP($B152,'SAP 금액'!$A:$C,3,0),0)</f>
        <v>1467301</v>
      </c>
      <c r="J152" s="16">
        <f>IFERROR(VLOOKUP(B152,'SAP 금액'!E:F,2,0),0)</f>
        <v>0</v>
      </c>
      <c r="K152" s="16">
        <f>VLOOKUP($B152,'국세청 금액'!$A:$C,2,0)</f>
        <v>14673017</v>
      </c>
      <c r="L152" s="16">
        <f>VLOOKUP($B152,'국세청 금액'!$A:$C,3,0)</f>
        <v>1467301</v>
      </c>
      <c r="M152" s="16">
        <f>VLOOKUP(B152,'국세청 금액'!A:D,4,0)</f>
        <v>0</v>
      </c>
      <c r="N152" s="17">
        <f t="shared" si="19"/>
        <v>0</v>
      </c>
      <c r="O152" s="17">
        <f t="shared" si="20"/>
        <v>0</v>
      </c>
      <c r="P152" s="17">
        <f t="shared" si="21"/>
        <v>0</v>
      </c>
      <c r="Q152" s="4" t="b">
        <f t="shared" si="22"/>
        <v>0</v>
      </c>
      <c r="R152" s="4" t="b">
        <f t="shared" si="23"/>
        <v>0</v>
      </c>
    </row>
    <row r="153" spans="2:18" x14ac:dyDescent="0.25">
      <c r="B153" s="15" t="s">
        <v>300</v>
      </c>
      <c r="C153" s="15" t="s">
        <v>301</v>
      </c>
      <c r="D153" s="15" t="s">
        <v>511</v>
      </c>
      <c r="E153" s="4" t="str">
        <f t="shared" si="16"/>
        <v>810</v>
      </c>
      <c r="F153" s="4" t="str">
        <f t="shared" si="17"/>
        <v>85</v>
      </c>
      <c r="G153" s="4" t="str">
        <f t="shared" si="18"/>
        <v>01285</v>
      </c>
      <c r="H153" s="16">
        <f>IFERROR(VLOOKUP($B153,'SAP 금액'!$A:$C,2,0),0)</f>
        <v>2299074</v>
      </c>
      <c r="I153" s="16">
        <f>IFERROR(VLOOKUP($B153,'SAP 금액'!$A:$C,3,0),0)</f>
        <v>229907</v>
      </c>
      <c r="J153" s="16">
        <f>IFERROR(VLOOKUP(B153,'SAP 금액'!E:F,2,0),0)</f>
        <v>0</v>
      </c>
      <c r="K153" s="16">
        <f>VLOOKUP($B153,'국세청 금액'!$A:$C,2,0)</f>
        <v>2299074</v>
      </c>
      <c r="L153" s="16">
        <f>VLOOKUP($B153,'국세청 금액'!$A:$C,3,0)</f>
        <v>229907</v>
      </c>
      <c r="M153" s="16">
        <f>VLOOKUP(B153,'국세청 금액'!A:D,4,0)</f>
        <v>0</v>
      </c>
      <c r="N153" s="17">
        <f t="shared" si="19"/>
        <v>0</v>
      </c>
      <c r="O153" s="17">
        <f t="shared" si="20"/>
        <v>0</v>
      </c>
      <c r="P153" s="17">
        <f t="shared" si="21"/>
        <v>0</v>
      </c>
      <c r="Q153" s="4" t="b">
        <f t="shared" si="22"/>
        <v>0</v>
      </c>
      <c r="R153" s="4" t="b">
        <f t="shared" si="23"/>
        <v>0</v>
      </c>
    </row>
    <row r="154" spans="2:18" x14ac:dyDescent="0.25">
      <c r="B154" s="15" t="s">
        <v>302</v>
      </c>
      <c r="C154" s="15" t="s">
        <v>303</v>
      </c>
      <c r="D154" s="15" t="s">
        <v>512</v>
      </c>
      <c r="E154" s="4" t="str">
        <f t="shared" si="16"/>
        <v>579</v>
      </c>
      <c r="F154" s="4" t="str">
        <f t="shared" si="17"/>
        <v>85</v>
      </c>
      <c r="G154" s="4" t="str">
        <f t="shared" si="18"/>
        <v>01157</v>
      </c>
      <c r="H154" s="16">
        <f>IFERROR(VLOOKUP($B154,'SAP 금액'!$A:$C,2,0),0)</f>
        <v>162446</v>
      </c>
      <c r="I154" s="16">
        <f>IFERROR(VLOOKUP($B154,'SAP 금액'!$A:$C,3,0),0)</f>
        <v>16244</v>
      </c>
      <c r="J154" s="16">
        <f>IFERROR(VLOOKUP(B154,'SAP 금액'!E:F,2,0),0)</f>
        <v>0</v>
      </c>
      <c r="K154" s="16">
        <f>VLOOKUP($B154,'국세청 금액'!$A:$C,2,0)</f>
        <v>162446</v>
      </c>
      <c r="L154" s="16">
        <f>VLOOKUP($B154,'국세청 금액'!$A:$C,3,0)</f>
        <v>16244</v>
      </c>
      <c r="M154" s="16">
        <f>VLOOKUP(B154,'국세청 금액'!A:D,4,0)</f>
        <v>0</v>
      </c>
      <c r="N154" s="17">
        <f t="shared" si="19"/>
        <v>0</v>
      </c>
      <c r="O154" s="17">
        <f t="shared" si="20"/>
        <v>0</v>
      </c>
      <c r="P154" s="17">
        <f t="shared" si="21"/>
        <v>0</v>
      </c>
      <c r="Q154" s="4" t="b">
        <f t="shared" si="22"/>
        <v>0</v>
      </c>
      <c r="R154" s="4" t="b">
        <f t="shared" si="23"/>
        <v>0</v>
      </c>
    </row>
    <row r="155" spans="2:18" x14ac:dyDescent="0.25">
      <c r="B155" s="15" t="s">
        <v>304</v>
      </c>
      <c r="C155" s="15" t="s">
        <v>305</v>
      </c>
      <c r="D155" s="15" t="s">
        <v>513</v>
      </c>
      <c r="E155" s="4" t="str">
        <f t="shared" si="16"/>
        <v>718</v>
      </c>
      <c r="F155" s="4" t="str">
        <f t="shared" si="17"/>
        <v>85</v>
      </c>
      <c r="G155" s="4" t="str">
        <f t="shared" si="18"/>
        <v>01276</v>
      </c>
      <c r="H155" s="16">
        <f>IFERROR(VLOOKUP($B155,'SAP 금액'!$A:$C,2,0),0)</f>
        <v>11884101</v>
      </c>
      <c r="I155" s="16">
        <f>IFERROR(VLOOKUP($B155,'SAP 금액'!$A:$C,3,0),0)</f>
        <v>1188413</v>
      </c>
      <c r="J155" s="16">
        <f>IFERROR(VLOOKUP(B155,'SAP 금액'!E:F,2,0),0)</f>
        <v>99870</v>
      </c>
      <c r="K155" s="16">
        <f>VLOOKUP($B155,'국세청 금액'!$A:$C,2,0)</f>
        <v>12814630</v>
      </c>
      <c r="L155" s="16">
        <f>VLOOKUP($B155,'국세청 금액'!$A:$C,3,0)</f>
        <v>1281465</v>
      </c>
      <c r="M155" s="16">
        <f>VLOOKUP(B155,'국세청 금액'!A:D,4,0)</f>
        <v>99870</v>
      </c>
      <c r="N155" s="17">
        <f t="shared" si="19"/>
        <v>930529</v>
      </c>
      <c r="O155" s="17">
        <f t="shared" si="20"/>
        <v>93052</v>
      </c>
      <c r="P155" s="17">
        <f t="shared" si="21"/>
        <v>0</v>
      </c>
      <c r="Q155" s="4" t="b">
        <f t="shared" si="22"/>
        <v>1</v>
      </c>
      <c r="R155" s="4" t="b">
        <f t="shared" si="23"/>
        <v>0</v>
      </c>
    </row>
    <row r="156" spans="2:18" x14ac:dyDescent="0.25">
      <c r="B156" s="15" t="s">
        <v>306</v>
      </c>
      <c r="C156" s="15" t="s">
        <v>307</v>
      </c>
      <c r="D156" s="15" t="s">
        <v>514</v>
      </c>
      <c r="E156" s="4" t="str">
        <f t="shared" si="16"/>
        <v>669</v>
      </c>
      <c r="F156" s="4" t="str">
        <f t="shared" si="17"/>
        <v>85</v>
      </c>
      <c r="G156" s="4" t="str">
        <f t="shared" si="18"/>
        <v>01523</v>
      </c>
      <c r="H156" s="16">
        <f>IFERROR(VLOOKUP($B156,'SAP 금액'!$A:$C,2,0),0)</f>
        <v>195000</v>
      </c>
      <c r="I156" s="16">
        <f>IFERROR(VLOOKUP($B156,'SAP 금액'!$A:$C,3,0),0)</f>
        <v>19500</v>
      </c>
      <c r="J156" s="16">
        <f>IFERROR(VLOOKUP(B156,'SAP 금액'!E:F,2,0),0)</f>
        <v>74600</v>
      </c>
      <c r="K156" s="16">
        <f>VLOOKUP($B156,'국세청 금액'!$A:$C,2,0)</f>
        <v>46612073</v>
      </c>
      <c r="L156" s="16">
        <f>VLOOKUP($B156,'국세청 금액'!$A:$C,3,0)</f>
        <v>4661208</v>
      </c>
      <c r="M156" s="16">
        <f>VLOOKUP(B156,'국세청 금액'!A:D,4,0)</f>
        <v>74600</v>
      </c>
      <c r="N156" s="17">
        <f t="shared" si="19"/>
        <v>46417073</v>
      </c>
      <c r="O156" s="17">
        <f t="shared" si="20"/>
        <v>4641708</v>
      </c>
      <c r="P156" s="17">
        <f t="shared" si="21"/>
        <v>0</v>
      </c>
      <c r="Q156" s="4" t="b">
        <f t="shared" si="22"/>
        <v>1</v>
      </c>
      <c r="R156" s="4" t="b">
        <f t="shared" si="23"/>
        <v>0</v>
      </c>
    </row>
    <row r="157" spans="2:18" x14ac:dyDescent="0.25">
      <c r="B157" s="15" t="s">
        <v>308</v>
      </c>
      <c r="C157" s="15" t="s">
        <v>309</v>
      </c>
      <c r="D157" s="15" t="s">
        <v>515</v>
      </c>
      <c r="E157" s="4" t="str">
        <f t="shared" si="16"/>
        <v>715</v>
      </c>
      <c r="F157" s="4" t="str">
        <f t="shared" si="17"/>
        <v>85</v>
      </c>
      <c r="G157" s="4" t="str">
        <f t="shared" si="18"/>
        <v>01132</v>
      </c>
      <c r="H157" s="16">
        <f>IFERROR(VLOOKUP($B157,'SAP 금액'!$A:$C,2,0),0)</f>
        <v>24143135</v>
      </c>
      <c r="I157" s="16">
        <f>IFERROR(VLOOKUP($B157,'SAP 금액'!$A:$C,3,0),0)</f>
        <v>2414313</v>
      </c>
      <c r="J157" s="16">
        <f>IFERROR(VLOOKUP(B157,'SAP 금액'!E:F,2,0),0)</f>
        <v>25200</v>
      </c>
      <c r="K157" s="16">
        <f>VLOOKUP($B157,'국세청 금액'!$A:$C,2,0)</f>
        <v>24143135</v>
      </c>
      <c r="L157" s="16">
        <f>VLOOKUP($B157,'국세청 금액'!$A:$C,3,0)</f>
        <v>2414313</v>
      </c>
      <c r="M157" s="16">
        <f>VLOOKUP(B157,'국세청 금액'!A:D,4,0)</f>
        <v>25200</v>
      </c>
      <c r="N157" s="17">
        <f t="shared" si="19"/>
        <v>0</v>
      </c>
      <c r="O157" s="17">
        <f t="shared" si="20"/>
        <v>0</v>
      </c>
      <c r="P157" s="17">
        <f t="shared" si="21"/>
        <v>0</v>
      </c>
      <c r="Q157" s="4" t="b">
        <f t="shared" si="22"/>
        <v>0</v>
      </c>
      <c r="R157" s="4" t="b">
        <f t="shared" si="23"/>
        <v>0</v>
      </c>
    </row>
    <row r="158" spans="2:18" x14ac:dyDescent="0.25">
      <c r="B158" s="15" t="s">
        <v>310</v>
      </c>
      <c r="C158" s="15" t="s">
        <v>311</v>
      </c>
      <c r="D158" s="15" t="s">
        <v>516</v>
      </c>
      <c r="E158" s="4" t="str">
        <f t="shared" si="16"/>
        <v>529</v>
      </c>
      <c r="F158" s="4" t="str">
        <f t="shared" si="17"/>
        <v>85</v>
      </c>
      <c r="G158" s="4" t="str">
        <f t="shared" si="18"/>
        <v>01230</v>
      </c>
      <c r="H158" s="16">
        <f>IFERROR(VLOOKUP($B158,'SAP 금액'!$A:$C,2,0),0)</f>
        <v>10812876</v>
      </c>
      <c r="I158" s="16">
        <f>IFERROR(VLOOKUP($B158,'SAP 금액'!$A:$C,3,0),0)</f>
        <v>1081289</v>
      </c>
      <c r="J158" s="16">
        <f>IFERROR(VLOOKUP(B158,'SAP 금액'!E:F,2,0),0)</f>
        <v>1270378</v>
      </c>
      <c r="K158" s="16">
        <f>VLOOKUP($B158,'국세청 금액'!$A:$C,2,0)</f>
        <v>10812876</v>
      </c>
      <c r="L158" s="16">
        <f>VLOOKUP($B158,'국세청 금액'!$A:$C,3,0)</f>
        <v>1081289</v>
      </c>
      <c r="M158" s="16">
        <f>VLOOKUP(B158,'국세청 금액'!A:D,4,0)</f>
        <v>1270378</v>
      </c>
      <c r="N158" s="17">
        <f t="shared" si="19"/>
        <v>0</v>
      </c>
      <c r="O158" s="17">
        <f t="shared" si="20"/>
        <v>0</v>
      </c>
      <c r="P158" s="17">
        <f t="shared" si="21"/>
        <v>0</v>
      </c>
      <c r="Q158" s="4" t="b">
        <f t="shared" si="22"/>
        <v>0</v>
      </c>
      <c r="R158" s="4" t="b">
        <f t="shared" si="23"/>
        <v>0</v>
      </c>
    </row>
    <row r="159" spans="2:18" x14ac:dyDescent="0.25">
      <c r="B159" s="15" t="s">
        <v>312</v>
      </c>
      <c r="C159" s="15" t="s">
        <v>313</v>
      </c>
      <c r="D159" s="15" t="s">
        <v>517</v>
      </c>
      <c r="E159" s="4" t="str">
        <f t="shared" si="16"/>
        <v>659</v>
      </c>
      <c r="F159" s="4" t="str">
        <f t="shared" si="17"/>
        <v>85</v>
      </c>
      <c r="G159" s="4" t="str">
        <f t="shared" si="18"/>
        <v>01093</v>
      </c>
      <c r="H159" s="16">
        <f>IFERROR(VLOOKUP($B159,'SAP 금액'!$A:$C,2,0),0)</f>
        <v>35867138</v>
      </c>
      <c r="I159" s="16">
        <f>IFERROR(VLOOKUP($B159,'SAP 금액'!$A:$C,3,0),0)</f>
        <v>3586714</v>
      </c>
      <c r="J159" s="16">
        <f>IFERROR(VLOOKUP(B159,'SAP 금액'!E:F,2,0),0)</f>
        <v>2279593</v>
      </c>
      <c r="K159" s="16">
        <f>VLOOKUP($B159,'국세청 금액'!$A:$C,2,0)</f>
        <v>35867138</v>
      </c>
      <c r="L159" s="16">
        <f>VLOOKUP($B159,'국세청 금액'!$A:$C,3,0)</f>
        <v>3586714</v>
      </c>
      <c r="M159" s="16">
        <f>VLOOKUP(B159,'국세청 금액'!A:D,4,0)</f>
        <v>2279593</v>
      </c>
      <c r="N159" s="17">
        <f t="shared" si="19"/>
        <v>0</v>
      </c>
      <c r="O159" s="17">
        <f t="shared" si="20"/>
        <v>0</v>
      </c>
      <c r="P159" s="17">
        <f t="shared" si="21"/>
        <v>0</v>
      </c>
      <c r="Q159" s="4" t="b">
        <f t="shared" si="22"/>
        <v>0</v>
      </c>
      <c r="R159" s="4" t="b">
        <f t="shared" si="23"/>
        <v>0</v>
      </c>
    </row>
    <row r="160" spans="2:18" x14ac:dyDescent="0.25">
      <c r="B160" s="15" t="s">
        <v>314</v>
      </c>
      <c r="C160" s="15" t="s">
        <v>315</v>
      </c>
      <c r="D160" s="15" t="s">
        <v>518</v>
      </c>
      <c r="E160" s="4" t="str">
        <f t="shared" si="16"/>
        <v>199</v>
      </c>
      <c r="F160" s="4" t="str">
        <f t="shared" si="17"/>
        <v>85</v>
      </c>
      <c r="G160" s="4" t="str">
        <f t="shared" si="18"/>
        <v>01422</v>
      </c>
      <c r="H160" s="16">
        <f>IFERROR(VLOOKUP($B160,'SAP 금액'!$A:$C,2,0),0)</f>
        <v>21180000</v>
      </c>
      <c r="I160" s="16">
        <f>IFERROR(VLOOKUP($B160,'SAP 금액'!$A:$C,3,0),0)</f>
        <v>2118000</v>
      </c>
      <c r="J160" s="16">
        <f>IFERROR(VLOOKUP(B160,'SAP 금액'!E:F,2,0),0)</f>
        <v>11715</v>
      </c>
      <c r="K160" s="16">
        <f>VLOOKUP($B160,'국세청 금액'!$A:$C,2,0)</f>
        <v>22760699</v>
      </c>
      <c r="L160" s="16">
        <f>VLOOKUP($B160,'국세청 금액'!$A:$C,3,0)</f>
        <v>2276070</v>
      </c>
      <c r="M160" s="16">
        <f>VLOOKUP(B160,'국세청 금액'!A:D,4,0)</f>
        <v>11715</v>
      </c>
      <c r="N160" s="17">
        <f t="shared" si="19"/>
        <v>1580699</v>
      </c>
      <c r="O160" s="17">
        <f t="shared" si="20"/>
        <v>158070</v>
      </c>
      <c r="P160" s="17">
        <f t="shared" si="21"/>
        <v>0</v>
      </c>
      <c r="Q160" s="4" t="b">
        <f t="shared" si="22"/>
        <v>1</v>
      </c>
      <c r="R160" s="4" t="b">
        <f t="shared" si="23"/>
        <v>0</v>
      </c>
    </row>
    <row r="161" spans="2:18" x14ac:dyDescent="0.25">
      <c r="B161" s="15" t="s">
        <v>316</v>
      </c>
      <c r="C161" s="15" t="s">
        <v>317</v>
      </c>
      <c r="D161" s="15" t="s">
        <v>519</v>
      </c>
      <c r="E161" s="4" t="str">
        <f t="shared" si="16"/>
        <v>226</v>
      </c>
      <c r="F161" s="4" t="str">
        <f t="shared" si="17"/>
        <v>85</v>
      </c>
      <c r="G161" s="4" t="str">
        <f t="shared" si="18"/>
        <v>33264</v>
      </c>
      <c r="H161" s="16">
        <f>IFERROR(VLOOKUP($B161,'SAP 금액'!$A:$C,2,0),0)</f>
        <v>0</v>
      </c>
      <c r="I161" s="16">
        <f>IFERROR(VLOOKUP($B161,'SAP 금액'!$A:$C,3,0),0)</f>
        <v>0</v>
      </c>
      <c r="J161" s="16">
        <f>IFERROR(VLOOKUP(B161,'SAP 금액'!E:F,2,0),0)</f>
        <v>0</v>
      </c>
      <c r="K161" s="16">
        <f>VLOOKUP($B161,'국세청 금액'!$A:$C,2,0)</f>
        <v>0</v>
      </c>
      <c r="L161" s="16">
        <f>VLOOKUP($B161,'국세청 금액'!$A:$C,3,0)</f>
        <v>0</v>
      </c>
      <c r="M161" s="16">
        <f>VLOOKUP(B161,'국세청 금액'!A:D,4,0)</f>
        <v>0</v>
      </c>
      <c r="N161" s="17">
        <f t="shared" si="19"/>
        <v>0</v>
      </c>
      <c r="O161" s="17">
        <f t="shared" si="20"/>
        <v>0</v>
      </c>
      <c r="P161" s="17">
        <f t="shared" si="21"/>
        <v>0</v>
      </c>
      <c r="Q161" s="4" t="b">
        <f t="shared" si="22"/>
        <v>0</v>
      </c>
      <c r="R161" s="4" t="b">
        <f t="shared" si="23"/>
        <v>0</v>
      </c>
    </row>
    <row r="162" spans="2:18" x14ac:dyDescent="0.25">
      <c r="B162" s="15" t="s">
        <v>318</v>
      </c>
      <c r="C162" s="15" t="s">
        <v>319</v>
      </c>
      <c r="D162" s="15" t="s">
        <v>520</v>
      </c>
      <c r="E162" s="4" t="str">
        <f t="shared" si="16"/>
        <v>638</v>
      </c>
      <c r="F162" s="4" t="str">
        <f t="shared" si="17"/>
        <v>85</v>
      </c>
      <c r="G162" s="4" t="str">
        <f t="shared" si="18"/>
        <v>01311</v>
      </c>
      <c r="H162" s="16">
        <f>IFERROR(VLOOKUP($B162,'SAP 금액'!$A:$C,2,0),0)</f>
        <v>6776204</v>
      </c>
      <c r="I162" s="16">
        <f>IFERROR(VLOOKUP($B162,'SAP 금액'!$A:$C,3,0),0)</f>
        <v>677619</v>
      </c>
      <c r="J162" s="16">
        <f>IFERROR(VLOOKUP(B162,'SAP 금액'!E:F,2,0),0)</f>
        <v>594297</v>
      </c>
      <c r="K162" s="16">
        <f>VLOOKUP($B162,'국세청 금액'!$A:$C,2,0)</f>
        <v>6776204</v>
      </c>
      <c r="L162" s="16">
        <f>VLOOKUP($B162,'국세청 금액'!$A:$C,3,0)</f>
        <v>677619</v>
      </c>
      <c r="M162" s="16">
        <f>VLOOKUP(B162,'국세청 금액'!A:D,4,0)</f>
        <v>594297</v>
      </c>
      <c r="N162" s="17">
        <f t="shared" si="19"/>
        <v>0</v>
      </c>
      <c r="O162" s="17">
        <f t="shared" si="20"/>
        <v>0</v>
      </c>
      <c r="P162" s="17">
        <f t="shared" si="21"/>
        <v>0</v>
      </c>
      <c r="Q162" s="4" t="b">
        <f t="shared" si="22"/>
        <v>0</v>
      </c>
      <c r="R162" s="4" t="b">
        <f t="shared" si="23"/>
        <v>0</v>
      </c>
    </row>
    <row r="163" spans="2:18" x14ac:dyDescent="0.25">
      <c r="B163" s="15" t="s">
        <v>320</v>
      </c>
      <c r="C163" s="15" t="s">
        <v>321</v>
      </c>
      <c r="D163" s="15" t="s">
        <v>521</v>
      </c>
      <c r="E163" s="4" t="str">
        <f t="shared" si="16"/>
        <v>354</v>
      </c>
      <c r="F163" s="4" t="str">
        <f t="shared" si="17"/>
        <v>85</v>
      </c>
      <c r="G163" s="4" t="str">
        <f t="shared" si="18"/>
        <v>01261</v>
      </c>
      <c r="H163" s="16">
        <f>IFERROR(VLOOKUP($B163,'SAP 금액'!$A:$C,2,0),0)</f>
        <v>36613801</v>
      </c>
      <c r="I163" s="16">
        <f>IFERROR(VLOOKUP($B163,'SAP 금액'!$A:$C,3,0),0)</f>
        <v>3661380</v>
      </c>
      <c r="J163" s="16">
        <f>IFERROR(VLOOKUP(B163,'SAP 금액'!E:F,2,0),0)</f>
        <v>0</v>
      </c>
      <c r="K163" s="16">
        <f>VLOOKUP($B163,'국세청 금액'!$A:$C,2,0)</f>
        <v>36613801</v>
      </c>
      <c r="L163" s="16">
        <f>VLOOKUP($B163,'국세청 금액'!$A:$C,3,0)</f>
        <v>3661380</v>
      </c>
      <c r="M163" s="16">
        <f>VLOOKUP(B163,'국세청 금액'!A:D,4,0)</f>
        <v>0</v>
      </c>
      <c r="N163" s="17">
        <f t="shared" si="19"/>
        <v>0</v>
      </c>
      <c r="O163" s="17">
        <f t="shared" si="20"/>
        <v>0</v>
      </c>
      <c r="P163" s="17">
        <f t="shared" si="21"/>
        <v>0</v>
      </c>
      <c r="Q163" s="4" t="b">
        <f t="shared" si="22"/>
        <v>0</v>
      </c>
      <c r="R163" s="4" t="b">
        <f t="shared" si="23"/>
        <v>0</v>
      </c>
    </row>
    <row r="164" spans="2:18" x14ac:dyDescent="0.25">
      <c r="B164" s="15" t="s">
        <v>322</v>
      </c>
      <c r="C164" s="15" t="s">
        <v>323</v>
      </c>
      <c r="D164" s="15" t="s">
        <v>522</v>
      </c>
      <c r="E164" s="4" t="str">
        <f t="shared" si="16"/>
        <v>271</v>
      </c>
      <c r="F164" s="4" t="str">
        <f t="shared" si="17"/>
        <v>85</v>
      </c>
      <c r="G164" s="4" t="str">
        <f t="shared" si="18"/>
        <v>01419</v>
      </c>
      <c r="H164" s="16">
        <f>IFERROR(VLOOKUP($B164,'SAP 금액'!$A:$C,2,0),0)</f>
        <v>88000</v>
      </c>
      <c r="I164" s="16">
        <f>IFERROR(VLOOKUP($B164,'SAP 금액'!$A:$C,3,0),0)</f>
        <v>8800</v>
      </c>
      <c r="J164" s="16">
        <f>IFERROR(VLOOKUP(B164,'SAP 금액'!E:F,2,0),0)</f>
        <v>0</v>
      </c>
      <c r="K164" s="16">
        <f>VLOOKUP($B164,'국세청 금액'!$A:$C,2,0)</f>
        <v>10083175</v>
      </c>
      <c r="L164" s="16">
        <f>VLOOKUP($B164,'국세청 금액'!$A:$C,3,0)</f>
        <v>1008318</v>
      </c>
      <c r="M164" s="16">
        <f>VLOOKUP(B164,'국세청 금액'!A:D,4,0)</f>
        <v>20720</v>
      </c>
      <c r="N164" s="17">
        <f t="shared" si="19"/>
        <v>9995175</v>
      </c>
      <c r="O164" s="17">
        <f t="shared" si="20"/>
        <v>999518</v>
      </c>
      <c r="P164" s="17">
        <f t="shared" si="21"/>
        <v>20720</v>
      </c>
      <c r="Q164" s="4" t="b">
        <f t="shared" si="22"/>
        <v>1</v>
      </c>
      <c r="R164" s="4" t="b">
        <f t="shared" si="23"/>
        <v>1</v>
      </c>
    </row>
    <row r="165" spans="2:18" x14ac:dyDescent="0.25">
      <c r="B165" s="15" t="s">
        <v>324</v>
      </c>
      <c r="C165" s="15" t="s">
        <v>325</v>
      </c>
      <c r="D165" s="15" t="s">
        <v>523</v>
      </c>
      <c r="E165" s="4" t="str">
        <f t="shared" si="16"/>
        <v>178</v>
      </c>
      <c r="F165" s="4" t="str">
        <f t="shared" si="17"/>
        <v>85</v>
      </c>
      <c r="G165" s="4" t="str">
        <f t="shared" si="18"/>
        <v>01293</v>
      </c>
      <c r="H165" s="16">
        <f>IFERROR(VLOOKUP($B165,'SAP 금액'!$A:$C,2,0),0)</f>
        <v>8079276</v>
      </c>
      <c r="I165" s="16">
        <f>IFERROR(VLOOKUP($B165,'SAP 금액'!$A:$C,3,0),0)</f>
        <v>807929</v>
      </c>
      <c r="J165" s="16">
        <f>IFERROR(VLOOKUP(B165,'SAP 금액'!E:F,2,0),0)</f>
        <v>396246</v>
      </c>
      <c r="K165" s="16">
        <f>VLOOKUP($B165,'국세청 금액'!$A:$C,2,0)</f>
        <v>8079276</v>
      </c>
      <c r="L165" s="16">
        <f>VLOOKUP($B165,'국세청 금액'!$A:$C,3,0)</f>
        <v>807929</v>
      </c>
      <c r="M165" s="16">
        <f>VLOOKUP(B165,'국세청 금액'!A:D,4,0)</f>
        <v>396246</v>
      </c>
      <c r="N165" s="17">
        <f t="shared" si="19"/>
        <v>0</v>
      </c>
      <c r="O165" s="17">
        <f t="shared" si="20"/>
        <v>0</v>
      </c>
      <c r="P165" s="17">
        <f t="shared" si="21"/>
        <v>0</v>
      </c>
      <c r="Q165" s="4" t="b">
        <f t="shared" si="22"/>
        <v>0</v>
      </c>
      <c r="R165" s="4" t="b">
        <f t="shared" si="23"/>
        <v>0</v>
      </c>
    </row>
    <row r="166" spans="2:18" x14ac:dyDescent="0.25">
      <c r="B166" s="15" t="s">
        <v>326</v>
      </c>
      <c r="C166" s="15" t="s">
        <v>327</v>
      </c>
      <c r="D166" s="15" t="s">
        <v>524</v>
      </c>
      <c r="E166" s="4" t="str">
        <f t="shared" si="16"/>
        <v>530</v>
      </c>
      <c r="F166" s="4" t="str">
        <f t="shared" si="17"/>
        <v>85</v>
      </c>
      <c r="G166" s="4" t="str">
        <f t="shared" si="18"/>
        <v>01531</v>
      </c>
      <c r="H166" s="16">
        <f>IFERROR(VLOOKUP($B166,'SAP 금액'!$A:$C,2,0),0)</f>
        <v>14919146</v>
      </c>
      <c r="I166" s="16">
        <f>IFERROR(VLOOKUP($B166,'SAP 금액'!$A:$C,3,0),0)</f>
        <v>1491915</v>
      </c>
      <c r="J166" s="16">
        <f>IFERROR(VLOOKUP(B166,'SAP 금액'!E:F,2,0),0)</f>
        <v>50682</v>
      </c>
      <c r="K166" s="16">
        <f>VLOOKUP($B166,'국세청 금액'!$A:$C,2,0)</f>
        <v>14919146</v>
      </c>
      <c r="L166" s="16">
        <f>VLOOKUP($B166,'국세청 금액'!$A:$C,3,0)</f>
        <v>1491915</v>
      </c>
      <c r="M166" s="16">
        <f>VLOOKUP(B166,'국세청 금액'!A:D,4,0)</f>
        <v>50682</v>
      </c>
      <c r="N166" s="17">
        <f t="shared" si="19"/>
        <v>0</v>
      </c>
      <c r="O166" s="17">
        <f t="shared" si="20"/>
        <v>0</v>
      </c>
      <c r="P166" s="17">
        <f t="shared" si="21"/>
        <v>0</v>
      </c>
      <c r="Q166" s="4" t="b">
        <f t="shared" si="22"/>
        <v>0</v>
      </c>
      <c r="R166" s="4" t="b">
        <f t="shared" si="23"/>
        <v>0</v>
      </c>
    </row>
    <row r="167" spans="2:18" x14ac:dyDescent="0.25">
      <c r="B167" s="15" t="s">
        <v>328</v>
      </c>
      <c r="C167" s="15" t="s">
        <v>329</v>
      </c>
      <c r="D167" s="15" t="s">
        <v>525</v>
      </c>
      <c r="E167" s="4" t="str">
        <f t="shared" si="16"/>
        <v>179</v>
      </c>
      <c r="F167" s="4" t="str">
        <f t="shared" si="17"/>
        <v>85</v>
      </c>
      <c r="G167" s="4" t="str">
        <f t="shared" si="18"/>
        <v>01355</v>
      </c>
      <c r="H167" s="16">
        <f>IFERROR(VLOOKUP($B167,'SAP 금액'!$A:$C,2,0),0)</f>
        <v>22633825</v>
      </c>
      <c r="I167" s="16">
        <f>IFERROR(VLOOKUP($B167,'SAP 금액'!$A:$C,3,0),0)</f>
        <v>2263382</v>
      </c>
      <c r="J167" s="16">
        <f>IFERROR(VLOOKUP(B167,'SAP 금액'!E:F,2,0),0)</f>
        <v>13713</v>
      </c>
      <c r="K167" s="16">
        <f>VLOOKUP($B167,'국세청 금액'!$A:$C,2,0)</f>
        <v>22633825</v>
      </c>
      <c r="L167" s="16">
        <f>VLOOKUP($B167,'국세청 금액'!$A:$C,3,0)</f>
        <v>2263382</v>
      </c>
      <c r="M167" s="16">
        <f>VLOOKUP(B167,'국세청 금액'!A:D,4,0)</f>
        <v>13713</v>
      </c>
      <c r="N167" s="17">
        <f t="shared" si="19"/>
        <v>0</v>
      </c>
      <c r="O167" s="17">
        <f t="shared" si="20"/>
        <v>0</v>
      </c>
      <c r="P167" s="17">
        <f t="shared" si="21"/>
        <v>0</v>
      </c>
      <c r="Q167" s="4" t="b">
        <f t="shared" si="22"/>
        <v>0</v>
      </c>
      <c r="R167" s="4" t="b">
        <f t="shared" si="23"/>
        <v>0</v>
      </c>
    </row>
    <row r="168" spans="2:18" x14ac:dyDescent="0.25">
      <c r="B168" s="15" t="s">
        <v>330</v>
      </c>
      <c r="C168" s="15" t="s">
        <v>331</v>
      </c>
      <c r="D168" s="15" t="s">
        <v>526</v>
      </c>
      <c r="E168" s="4" t="str">
        <f t="shared" si="16"/>
        <v>824</v>
      </c>
      <c r="F168" s="4" t="str">
        <f t="shared" si="17"/>
        <v>85</v>
      </c>
      <c r="G168" s="4" t="str">
        <f t="shared" si="18"/>
        <v>01396</v>
      </c>
      <c r="H168" s="16">
        <f>IFERROR(VLOOKUP($B168,'SAP 금액'!$A:$C,2,0),0)</f>
        <v>3131934</v>
      </c>
      <c r="I168" s="16">
        <f>IFERROR(VLOOKUP($B168,'SAP 금액'!$A:$C,3,0),0)</f>
        <v>313194</v>
      </c>
      <c r="J168" s="16">
        <f>IFERROR(VLOOKUP(B168,'SAP 금액'!E:F,2,0),0)</f>
        <v>0</v>
      </c>
      <c r="K168" s="16">
        <f>VLOOKUP($B168,'국세청 금액'!$A:$C,2,0)</f>
        <v>3131934</v>
      </c>
      <c r="L168" s="16">
        <f>VLOOKUP($B168,'국세청 금액'!$A:$C,3,0)</f>
        <v>313194</v>
      </c>
      <c r="M168" s="16">
        <f>VLOOKUP(B168,'국세청 금액'!A:D,4,0)</f>
        <v>0</v>
      </c>
      <c r="N168" s="17">
        <f t="shared" si="19"/>
        <v>0</v>
      </c>
      <c r="O168" s="17">
        <f t="shared" si="20"/>
        <v>0</v>
      </c>
      <c r="P168" s="17">
        <f t="shared" si="21"/>
        <v>0</v>
      </c>
      <c r="Q168" s="4" t="b">
        <f t="shared" si="22"/>
        <v>0</v>
      </c>
      <c r="R168" s="4" t="b">
        <f t="shared" si="23"/>
        <v>0</v>
      </c>
    </row>
    <row r="169" spans="2:18" x14ac:dyDescent="0.25">
      <c r="B169" s="15" t="s">
        <v>332</v>
      </c>
      <c r="C169" s="15" t="s">
        <v>117</v>
      </c>
      <c r="D169" s="15" t="s">
        <v>527</v>
      </c>
      <c r="E169" s="4" t="str">
        <f t="shared" si="16"/>
        <v>570</v>
      </c>
      <c r="F169" s="4" t="str">
        <f t="shared" si="17"/>
        <v>85</v>
      </c>
      <c r="G169" s="4" t="str">
        <f t="shared" si="18"/>
        <v>01562</v>
      </c>
      <c r="H169" s="16">
        <f>IFERROR(VLOOKUP($B169,'SAP 금액'!$A:$C,2,0),0)</f>
        <v>203414715</v>
      </c>
      <c r="I169" s="16">
        <f>IFERROR(VLOOKUP($B169,'SAP 금액'!$A:$C,3,0),0)</f>
        <v>20341458</v>
      </c>
      <c r="J169" s="16">
        <f>IFERROR(VLOOKUP(B169,'SAP 금액'!E:F,2,0),0)</f>
        <v>0</v>
      </c>
      <c r="K169" s="16">
        <f>VLOOKUP($B169,'국세청 금액'!$A:$C,2,0)</f>
        <v>203414715</v>
      </c>
      <c r="L169" s="16">
        <f>VLOOKUP($B169,'국세청 금액'!$A:$C,3,0)</f>
        <v>20341458</v>
      </c>
      <c r="M169" s="16">
        <f>VLOOKUP(B169,'국세청 금액'!A:D,4,0)</f>
        <v>0</v>
      </c>
      <c r="N169" s="17">
        <f t="shared" si="19"/>
        <v>0</v>
      </c>
      <c r="O169" s="17">
        <f t="shared" si="20"/>
        <v>0</v>
      </c>
      <c r="P169" s="17">
        <f t="shared" si="21"/>
        <v>0</v>
      </c>
      <c r="Q169" s="4" t="b">
        <f t="shared" si="22"/>
        <v>0</v>
      </c>
      <c r="R169" s="4" t="b">
        <f t="shared" si="23"/>
        <v>0</v>
      </c>
    </row>
    <row r="170" spans="2:18" x14ac:dyDescent="0.25">
      <c r="B170" s="15" t="s">
        <v>333</v>
      </c>
      <c r="C170" s="15" t="s">
        <v>334</v>
      </c>
      <c r="D170" s="15" t="s">
        <v>528</v>
      </c>
      <c r="E170" s="4" t="str">
        <f t="shared" si="16"/>
        <v>125</v>
      </c>
      <c r="F170" s="4" t="str">
        <f t="shared" si="17"/>
        <v>85</v>
      </c>
      <c r="G170" s="4" t="str">
        <f t="shared" si="18"/>
        <v>49459</v>
      </c>
      <c r="H170" s="16">
        <f>IFERROR(VLOOKUP($B170,'SAP 금액'!$A:$C,2,0),0)</f>
        <v>47845355</v>
      </c>
      <c r="I170" s="16">
        <f>IFERROR(VLOOKUP($B170,'SAP 금액'!$A:$C,3,0),0)</f>
        <v>4784536</v>
      </c>
      <c r="J170" s="16">
        <f>IFERROR(VLOOKUP(B170,'SAP 금액'!E:F,2,0),0)</f>
        <v>8437</v>
      </c>
      <c r="K170" s="16">
        <f>VLOOKUP($B170,'국세청 금액'!$A:$C,2,0)</f>
        <v>47845355</v>
      </c>
      <c r="L170" s="16">
        <f>VLOOKUP($B170,'국세청 금액'!$A:$C,3,0)</f>
        <v>4784536</v>
      </c>
      <c r="M170" s="16">
        <f>VLOOKUP(B170,'국세청 금액'!A:D,4,0)</f>
        <v>8437</v>
      </c>
      <c r="N170" s="17">
        <f t="shared" si="19"/>
        <v>0</v>
      </c>
      <c r="O170" s="17">
        <f t="shared" si="20"/>
        <v>0</v>
      </c>
      <c r="P170" s="17">
        <f t="shared" si="21"/>
        <v>0</v>
      </c>
      <c r="Q170" s="4" t="b">
        <f t="shared" si="22"/>
        <v>0</v>
      </c>
      <c r="R170" s="4" t="b">
        <f t="shared" si="23"/>
        <v>0</v>
      </c>
    </row>
    <row r="171" spans="2:18" x14ac:dyDescent="0.25">
      <c r="B171" s="15" t="s">
        <v>335</v>
      </c>
      <c r="C171" s="15" t="s">
        <v>336</v>
      </c>
      <c r="D171" s="15" t="s">
        <v>529</v>
      </c>
      <c r="E171" s="4" t="str">
        <f t="shared" si="16"/>
        <v>590</v>
      </c>
      <c r="F171" s="4" t="str">
        <f t="shared" si="17"/>
        <v>85</v>
      </c>
      <c r="G171" s="4" t="str">
        <f t="shared" si="18"/>
        <v>01265</v>
      </c>
      <c r="H171" s="16">
        <f>IFERROR(VLOOKUP($B171,'SAP 금액'!$A:$C,2,0),0)</f>
        <v>0</v>
      </c>
      <c r="I171" s="16">
        <f>IFERROR(VLOOKUP($B171,'SAP 금액'!$A:$C,3,0),0)</f>
        <v>0</v>
      </c>
      <c r="J171" s="16">
        <f>IFERROR(VLOOKUP(B171,'SAP 금액'!E:F,2,0),0)</f>
        <v>0</v>
      </c>
      <c r="K171" s="16">
        <f>VLOOKUP($B171,'국세청 금액'!$A:$C,2,0)</f>
        <v>0</v>
      </c>
      <c r="L171" s="16">
        <f>VLOOKUP($B171,'국세청 금액'!$A:$C,3,0)</f>
        <v>0</v>
      </c>
      <c r="M171" s="16">
        <f>VLOOKUP(B171,'국세청 금액'!A:D,4,0)</f>
        <v>0</v>
      </c>
      <c r="N171" s="17">
        <f t="shared" si="19"/>
        <v>0</v>
      </c>
      <c r="O171" s="17">
        <f t="shared" si="20"/>
        <v>0</v>
      </c>
      <c r="P171" s="17">
        <f t="shared" si="21"/>
        <v>0</v>
      </c>
      <c r="Q171" s="4" t="b">
        <f t="shared" si="22"/>
        <v>0</v>
      </c>
      <c r="R171" s="4" t="b">
        <f t="shared" si="23"/>
        <v>0</v>
      </c>
    </row>
    <row r="172" spans="2:18" x14ac:dyDescent="0.25">
      <c r="B172" s="15" t="s">
        <v>337</v>
      </c>
      <c r="C172" s="15" t="s">
        <v>338</v>
      </c>
      <c r="D172" s="15" t="s">
        <v>530</v>
      </c>
      <c r="E172" s="4" t="str">
        <f t="shared" si="16"/>
        <v>256</v>
      </c>
      <c r="F172" s="4" t="str">
        <f t="shared" si="17"/>
        <v>85</v>
      </c>
      <c r="G172" s="4" t="str">
        <f t="shared" si="18"/>
        <v>01161</v>
      </c>
      <c r="H172" s="16">
        <f>IFERROR(VLOOKUP($B172,'SAP 금액'!$A:$C,2,0),0)</f>
        <v>3774053</v>
      </c>
      <c r="I172" s="16">
        <f>IFERROR(VLOOKUP($B172,'SAP 금액'!$A:$C,3,0),0)</f>
        <v>377405</v>
      </c>
      <c r="J172" s="16">
        <f>IFERROR(VLOOKUP(B172,'SAP 금액'!E:F,2,0),0)</f>
        <v>216246</v>
      </c>
      <c r="K172" s="16">
        <f>VLOOKUP($B172,'국세청 금액'!$A:$C,2,0)</f>
        <v>3774053</v>
      </c>
      <c r="L172" s="16">
        <f>VLOOKUP($B172,'국세청 금액'!$A:$C,3,0)</f>
        <v>377405</v>
      </c>
      <c r="M172" s="16">
        <f>VLOOKUP(B172,'국세청 금액'!A:D,4,0)</f>
        <v>216246</v>
      </c>
      <c r="N172" s="17">
        <f t="shared" si="19"/>
        <v>0</v>
      </c>
      <c r="O172" s="17">
        <f t="shared" si="20"/>
        <v>0</v>
      </c>
      <c r="P172" s="17">
        <f t="shared" si="21"/>
        <v>0</v>
      </c>
      <c r="Q172" s="4" t="b">
        <f t="shared" si="22"/>
        <v>0</v>
      </c>
      <c r="R172" s="4" t="b">
        <f t="shared" si="23"/>
        <v>0</v>
      </c>
    </row>
    <row r="173" spans="2:18" x14ac:dyDescent="0.25">
      <c r="B173" s="15" t="s">
        <v>339</v>
      </c>
      <c r="C173" s="15" t="s">
        <v>340</v>
      </c>
      <c r="D173" s="15" t="s">
        <v>531</v>
      </c>
      <c r="E173" s="4" t="str">
        <f t="shared" si="16"/>
        <v>604</v>
      </c>
      <c r="F173" s="4" t="str">
        <f t="shared" si="17"/>
        <v>85</v>
      </c>
      <c r="G173" s="4" t="str">
        <f t="shared" si="18"/>
        <v>13207</v>
      </c>
      <c r="H173" s="16">
        <f>IFERROR(VLOOKUP($B173,'SAP 금액'!$A:$C,2,0),0)</f>
        <v>1024061</v>
      </c>
      <c r="I173" s="16">
        <f>IFERROR(VLOOKUP($B173,'SAP 금액'!$A:$C,3,0),0)</f>
        <v>102406</v>
      </c>
      <c r="J173" s="16">
        <f>IFERROR(VLOOKUP(B173,'SAP 금액'!E:F,2,0),0)</f>
        <v>0</v>
      </c>
      <c r="K173" s="16">
        <f>VLOOKUP($B173,'국세청 금액'!$A:$C,2,0)</f>
        <v>1024061</v>
      </c>
      <c r="L173" s="16">
        <f>VLOOKUP($B173,'국세청 금액'!$A:$C,3,0)</f>
        <v>102406</v>
      </c>
      <c r="M173" s="16">
        <f>VLOOKUP(B173,'국세청 금액'!A:D,4,0)</f>
        <v>0</v>
      </c>
      <c r="N173" s="17">
        <f t="shared" si="19"/>
        <v>0</v>
      </c>
      <c r="O173" s="17">
        <f t="shared" si="20"/>
        <v>0</v>
      </c>
      <c r="P173" s="17">
        <f t="shared" si="21"/>
        <v>0</v>
      </c>
      <c r="Q173" s="4" t="b">
        <f t="shared" si="22"/>
        <v>0</v>
      </c>
      <c r="R173" s="4" t="b">
        <f t="shared" si="23"/>
        <v>0</v>
      </c>
    </row>
    <row r="174" spans="2:18" x14ac:dyDescent="0.25">
      <c r="B174" s="15" t="s">
        <v>341</v>
      </c>
      <c r="C174" s="15" t="s">
        <v>342</v>
      </c>
      <c r="D174" s="15" t="s">
        <v>532</v>
      </c>
      <c r="E174" s="4" t="str">
        <f t="shared" si="16"/>
        <v>392</v>
      </c>
      <c r="F174" s="4" t="str">
        <f t="shared" si="17"/>
        <v>85</v>
      </c>
      <c r="G174" s="4" t="str">
        <f t="shared" si="18"/>
        <v>01389</v>
      </c>
      <c r="H174" s="16">
        <f>IFERROR(VLOOKUP($B174,'SAP 금액'!$A:$C,2,0),0)</f>
        <v>140000</v>
      </c>
      <c r="I174" s="16">
        <f>IFERROR(VLOOKUP($B174,'SAP 금액'!$A:$C,3,0),0)</f>
        <v>14000</v>
      </c>
      <c r="J174" s="16">
        <f>IFERROR(VLOOKUP(B174,'SAP 금액'!E:F,2,0),0)</f>
        <v>0</v>
      </c>
      <c r="K174" s="16">
        <f>VLOOKUP($B174,'국세청 금액'!$A:$C,2,0)</f>
        <v>140000</v>
      </c>
      <c r="L174" s="16">
        <f>VLOOKUP($B174,'국세청 금액'!$A:$C,3,0)</f>
        <v>14000</v>
      </c>
      <c r="M174" s="16">
        <f>VLOOKUP(B174,'국세청 금액'!A:D,4,0)</f>
        <v>0</v>
      </c>
      <c r="N174" s="17">
        <f t="shared" si="19"/>
        <v>0</v>
      </c>
      <c r="O174" s="17">
        <f t="shared" si="20"/>
        <v>0</v>
      </c>
      <c r="P174" s="17">
        <f t="shared" si="21"/>
        <v>0</v>
      </c>
      <c r="Q174" s="4" t="b">
        <f t="shared" si="22"/>
        <v>0</v>
      </c>
      <c r="R174" s="4" t="b">
        <f t="shared" si="23"/>
        <v>0</v>
      </c>
    </row>
    <row r="175" spans="2:18" x14ac:dyDescent="0.25">
      <c r="B175" s="15" t="s">
        <v>343</v>
      </c>
      <c r="C175" s="15" t="s">
        <v>344</v>
      </c>
      <c r="D175" s="15" t="s">
        <v>533</v>
      </c>
      <c r="E175" s="4" t="str">
        <f t="shared" si="16"/>
        <v>202</v>
      </c>
      <c r="F175" s="4" t="str">
        <f t="shared" si="17"/>
        <v>85</v>
      </c>
      <c r="G175" s="4" t="str">
        <f t="shared" si="18"/>
        <v>05457</v>
      </c>
      <c r="H175" s="16">
        <f>IFERROR(VLOOKUP($B175,'SAP 금액'!$A:$C,2,0),0)</f>
        <v>23441809</v>
      </c>
      <c r="I175" s="16">
        <f>IFERROR(VLOOKUP($B175,'SAP 금액'!$A:$C,3,0),0)</f>
        <v>2344181</v>
      </c>
      <c r="J175" s="16">
        <f>IFERROR(VLOOKUP(B175,'SAP 금액'!E:F,2,0),0)</f>
        <v>0</v>
      </c>
      <c r="K175" s="16">
        <f>VLOOKUP($B175,'국세청 금액'!$A:$C,2,0)</f>
        <v>23441809</v>
      </c>
      <c r="L175" s="16">
        <f>VLOOKUP($B175,'국세청 금액'!$A:$C,3,0)</f>
        <v>2344181</v>
      </c>
      <c r="M175" s="16">
        <f>VLOOKUP(B175,'국세청 금액'!A:D,4,0)</f>
        <v>0</v>
      </c>
      <c r="N175" s="17">
        <f t="shared" si="19"/>
        <v>0</v>
      </c>
      <c r="O175" s="17">
        <f t="shared" si="20"/>
        <v>0</v>
      </c>
      <c r="P175" s="17">
        <f t="shared" si="21"/>
        <v>0</v>
      </c>
      <c r="Q175" s="4" t="b">
        <f t="shared" si="22"/>
        <v>0</v>
      </c>
      <c r="R175" s="4" t="b">
        <f t="shared" si="23"/>
        <v>0</v>
      </c>
    </row>
    <row r="176" spans="2:18" x14ac:dyDescent="0.25">
      <c r="B176" s="15" t="s">
        <v>345</v>
      </c>
      <c r="C176" s="15" t="s">
        <v>346</v>
      </c>
      <c r="D176" s="15" t="s">
        <v>534</v>
      </c>
      <c r="E176" s="4" t="str">
        <f t="shared" si="16"/>
        <v>692</v>
      </c>
      <c r="F176" s="4" t="str">
        <f t="shared" si="17"/>
        <v>85</v>
      </c>
      <c r="G176" s="4" t="str">
        <f t="shared" si="18"/>
        <v>01523</v>
      </c>
      <c r="H176" s="16">
        <f>IFERROR(VLOOKUP($B176,'SAP 금액'!$A:$C,2,0),0)</f>
        <v>13814696</v>
      </c>
      <c r="I176" s="16">
        <f>IFERROR(VLOOKUP($B176,'SAP 금액'!$A:$C,3,0),0)</f>
        <v>1381470</v>
      </c>
      <c r="J176" s="16">
        <f>IFERROR(VLOOKUP(B176,'SAP 금액'!E:F,2,0),0)</f>
        <v>0</v>
      </c>
      <c r="K176" s="16">
        <f>VLOOKUP($B176,'국세청 금액'!$A:$C,2,0)</f>
        <v>13814696</v>
      </c>
      <c r="L176" s="16">
        <f>VLOOKUP($B176,'국세청 금액'!$A:$C,3,0)</f>
        <v>1381470</v>
      </c>
      <c r="M176" s="16">
        <f>VLOOKUP(B176,'국세청 금액'!A:D,4,0)</f>
        <v>0</v>
      </c>
      <c r="N176" s="17">
        <f t="shared" si="19"/>
        <v>0</v>
      </c>
      <c r="O176" s="17">
        <f t="shared" si="20"/>
        <v>0</v>
      </c>
      <c r="P176" s="17">
        <f t="shared" si="21"/>
        <v>0</v>
      </c>
      <c r="Q176" s="4" t="b">
        <f t="shared" si="22"/>
        <v>0</v>
      </c>
      <c r="R176" s="4" t="b">
        <f t="shared" si="23"/>
        <v>0</v>
      </c>
    </row>
    <row r="177" spans="2:18" x14ac:dyDescent="0.25">
      <c r="B177" s="15" t="s">
        <v>347</v>
      </c>
      <c r="C177" s="15" t="s">
        <v>348</v>
      </c>
      <c r="D177" s="15" t="s">
        <v>535</v>
      </c>
      <c r="E177" s="4" t="str">
        <f t="shared" si="16"/>
        <v>222</v>
      </c>
      <c r="F177" s="4" t="str">
        <f t="shared" si="17"/>
        <v>85</v>
      </c>
      <c r="G177" s="4" t="str">
        <f t="shared" si="18"/>
        <v>13738</v>
      </c>
      <c r="H177" s="16">
        <f>IFERROR(VLOOKUP($B177,'SAP 금액'!$A:$C,2,0),0)</f>
        <v>0</v>
      </c>
      <c r="I177" s="16">
        <f>IFERROR(VLOOKUP($B177,'SAP 금액'!$A:$C,3,0),0)</f>
        <v>0</v>
      </c>
      <c r="J177" s="16">
        <f>IFERROR(VLOOKUP(B177,'SAP 금액'!E:F,2,0),0)</f>
        <v>0</v>
      </c>
      <c r="K177" s="16">
        <f>VLOOKUP($B177,'국세청 금액'!$A:$C,2,0)</f>
        <v>93175385</v>
      </c>
      <c r="L177" s="16">
        <f>VLOOKUP($B177,'국세청 금액'!$A:$C,3,0)</f>
        <v>9317538</v>
      </c>
      <c r="M177" s="16">
        <f>VLOOKUP(B177,'국세청 금액'!A:D,4,0)</f>
        <v>0</v>
      </c>
      <c r="N177" s="17">
        <f t="shared" si="19"/>
        <v>93175385</v>
      </c>
      <c r="O177" s="17">
        <f t="shared" si="20"/>
        <v>9317538</v>
      </c>
      <c r="P177" s="17">
        <f t="shared" si="21"/>
        <v>0</v>
      </c>
      <c r="Q177" s="4" t="b">
        <f t="shared" si="22"/>
        <v>1</v>
      </c>
      <c r="R177" s="4" t="b">
        <f t="shared" si="23"/>
        <v>0</v>
      </c>
    </row>
    <row r="178" spans="2:18" x14ac:dyDescent="0.25">
      <c r="B178" s="15" t="s">
        <v>349</v>
      </c>
      <c r="C178" s="15" t="s">
        <v>350</v>
      </c>
      <c r="D178" s="15" t="s">
        <v>536</v>
      </c>
      <c r="E178" s="4" t="str">
        <f t="shared" si="16"/>
        <v>710</v>
      </c>
      <c r="F178" s="4" t="str">
        <f t="shared" si="17"/>
        <v>85</v>
      </c>
      <c r="G178" s="4" t="str">
        <f t="shared" si="18"/>
        <v>01646</v>
      </c>
      <c r="H178" s="16">
        <f>IFERROR(VLOOKUP($B178,'SAP 금액'!$A:$C,2,0),0)</f>
        <v>43540420</v>
      </c>
      <c r="I178" s="16">
        <f>IFERROR(VLOOKUP($B178,'SAP 금액'!$A:$C,3,0),0)</f>
        <v>4354062</v>
      </c>
      <c r="J178" s="16">
        <f>IFERROR(VLOOKUP(B178,'SAP 금액'!E:F,2,0),0)</f>
        <v>0</v>
      </c>
      <c r="K178" s="16">
        <f>VLOOKUP($B178,'국세청 금액'!$A:$C,2,0)</f>
        <v>43544493</v>
      </c>
      <c r="L178" s="16">
        <f>VLOOKUP($B178,'국세청 금액'!$A:$C,3,0)</f>
        <v>4354470</v>
      </c>
      <c r="M178" s="16">
        <f>VLOOKUP(B178,'국세청 금액'!A:D,4,0)</f>
        <v>0</v>
      </c>
      <c r="N178" s="17">
        <f t="shared" si="19"/>
        <v>4073</v>
      </c>
      <c r="O178" s="17">
        <f t="shared" si="20"/>
        <v>408</v>
      </c>
      <c r="P178" s="17">
        <f t="shared" si="21"/>
        <v>0</v>
      </c>
      <c r="Q178" s="4" t="b">
        <f t="shared" si="22"/>
        <v>1</v>
      </c>
      <c r="R178" s="4" t="b">
        <f t="shared" si="23"/>
        <v>0</v>
      </c>
    </row>
    <row r="179" spans="2:18" x14ac:dyDescent="0.25">
      <c r="B179" s="15" t="s">
        <v>351</v>
      </c>
      <c r="C179" s="15" t="s">
        <v>352</v>
      </c>
      <c r="D179" s="15" t="s">
        <v>537</v>
      </c>
      <c r="E179" s="4" t="str">
        <f t="shared" si="16"/>
        <v>753</v>
      </c>
      <c r="F179" s="4" t="str">
        <f t="shared" si="17"/>
        <v>85</v>
      </c>
      <c r="G179" s="4" t="str">
        <f t="shared" si="18"/>
        <v>01401</v>
      </c>
      <c r="H179" s="16">
        <f>IFERROR(VLOOKUP($B179,'SAP 금액'!$A:$C,2,0),0)</f>
        <v>15332145</v>
      </c>
      <c r="I179" s="16">
        <f>IFERROR(VLOOKUP($B179,'SAP 금액'!$A:$C,3,0),0)</f>
        <v>1533214</v>
      </c>
      <c r="J179" s="16">
        <f>IFERROR(VLOOKUP(B179,'SAP 금액'!E:F,2,0),0)</f>
        <v>0</v>
      </c>
      <c r="K179" s="16">
        <f>VLOOKUP($B179,'국세청 금액'!$A:$C,2,0)</f>
        <v>16312634</v>
      </c>
      <c r="L179" s="16">
        <f>VLOOKUP($B179,'국세청 금액'!$A:$C,3,0)</f>
        <v>1631263</v>
      </c>
      <c r="M179" s="16">
        <f>VLOOKUP(B179,'국세청 금액'!A:D,4,0)</f>
        <v>0</v>
      </c>
      <c r="N179" s="17">
        <f t="shared" si="19"/>
        <v>980489</v>
      </c>
      <c r="O179" s="17">
        <f t="shared" si="20"/>
        <v>98049</v>
      </c>
      <c r="P179" s="17">
        <f t="shared" si="21"/>
        <v>0</v>
      </c>
      <c r="Q179" s="4" t="b">
        <f t="shared" si="22"/>
        <v>1</v>
      </c>
      <c r="R179" s="4" t="b">
        <f t="shared" si="23"/>
        <v>0</v>
      </c>
    </row>
    <row r="180" spans="2:18" x14ac:dyDescent="0.25">
      <c r="B180" s="15" t="s">
        <v>353</v>
      </c>
      <c r="C180" s="15" t="s">
        <v>354</v>
      </c>
      <c r="D180" s="15" t="s">
        <v>538</v>
      </c>
      <c r="E180" s="4" t="str">
        <f t="shared" si="16"/>
        <v>375</v>
      </c>
      <c r="F180" s="4" t="str">
        <f t="shared" si="17"/>
        <v>85</v>
      </c>
      <c r="G180" s="4" t="str">
        <f t="shared" si="18"/>
        <v>01502</v>
      </c>
      <c r="H180" s="16">
        <f>IFERROR(VLOOKUP($B180,'SAP 금액'!$A:$C,2,0),0)</f>
        <v>52848245</v>
      </c>
      <c r="I180" s="16">
        <f>IFERROR(VLOOKUP($B180,'SAP 금액'!$A:$C,3,0),0)</f>
        <v>5225824</v>
      </c>
      <c r="J180" s="16">
        <f>IFERROR(VLOOKUP(B180,'SAP 금액'!E:F,2,0),0)</f>
        <v>1283228</v>
      </c>
      <c r="K180" s="16">
        <f>VLOOKUP($B180,'국세청 금액'!$A:$C,2,0)</f>
        <v>52848245</v>
      </c>
      <c r="L180" s="16">
        <f>VLOOKUP($B180,'국세청 금액'!$A:$C,3,0)</f>
        <v>5225824</v>
      </c>
      <c r="M180" s="16">
        <f>VLOOKUP(B180,'국세청 금액'!A:D,4,0)</f>
        <v>1283228</v>
      </c>
      <c r="N180" s="17">
        <f t="shared" si="19"/>
        <v>0</v>
      </c>
      <c r="O180" s="17">
        <f t="shared" si="20"/>
        <v>0</v>
      </c>
      <c r="P180" s="17">
        <f t="shared" si="21"/>
        <v>0</v>
      </c>
      <c r="Q180" s="4" t="b">
        <f t="shared" si="22"/>
        <v>0</v>
      </c>
      <c r="R180" s="4" t="b">
        <f t="shared" si="23"/>
        <v>0</v>
      </c>
    </row>
    <row r="181" spans="2:18" x14ac:dyDescent="0.25">
      <c r="B181" s="15" t="s">
        <v>355</v>
      </c>
      <c r="C181" s="15" t="s">
        <v>356</v>
      </c>
      <c r="D181" s="15" t="s">
        <v>539</v>
      </c>
      <c r="E181" s="4" t="str">
        <f t="shared" si="16"/>
        <v>448</v>
      </c>
      <c r="F181" s="4" t="str">
        <f t="shared" si="17"/>
        <v>85</v>
      </c>
      <c r="G181" s="4" t="str">
        <f t="shared" si="18"/>
        <v>01514</v>
      </c>
      <c r="H181" s="16">
        <f>IFERROR(VLOOKUP($B181,'SAP 금액'!$A:$C,2,0),0)</f>
        <v>83447858</v>
      </c>
      <c r="I181" s="16">
        <f>IFERROR(VLOOKUP($B181,'SAP 금액'!$A:$C,3,0),0)</f>
        <v>8344786</v>
      </c>
      <c r="J181" s="16">
        <f>IFERROR(VLOOKUP(B181,'SAP 금액'!E:F,2,0),0)</f>
        <v>0</v>
      </c>
      <c r="K181" s="16">
        <f>VLOOKUP($B181,'국세청 금액'!$A:$C,2,0)</f>
        <v>83447858</v>
      </c>
      <c r="L181" s="16">
        <f>VLOOKUP($B181,'국세청 금액'!$A:$C,3,0)</f>
        <v>8344786</v>
      </c>
      <c r="M181" s="16">
        <f>VLOOKUP(B181,'국세청 금액'!A:D,4,0)</f>
        <v>0</v>
      </c>
      <c r="N181" s="17">
        <f t="shared" si="19"/>
        <v>0</v>
      </c>
      <c r="O181" s="17">
        <f t="shared" si="20"/>
        <v>0</v>
      </c>
      <c r="P181" s="17">
        <f t="shared" si="21"/>
        <v>0</v>
      </c>
      <c r="Q181" s="4" t="b">
        <f t="shared" si="22"/>
        <v>0</v>
      </c>
      <c r="R181" s="4" t="b">
        <f t="shared" si="23"/>
        <v>0</v>
      </c>
    </row>
    <row r="182" spans="2:18" x14ac:dyDescent="0.25">
      <c r="B182" s="15" t="s">
        <v>357</v>
      </c>
      <c r="C182" s="15" t="s">
        <v>358</v>
      </c>
      <c r="D182" s="15" t="s">
        <v>540</v>
      </c>
      <c r="E182" s="4" t="str">
        <f t="shared" si="16"/>
        <v>174</v>
      </c>
      <c r="F182" s="4" t="str">
        <f t="shared" si="17"/>
        <v>85</v>
      </c>
      <c r="G182" s="4" t="str">
        <f t="shared" si="18"/>
        <v>01608</v>
      </c>
      <c r="H182" s="16">
        <f>IFERROR(VLOOKUP($B182,'SAP 금액'!$A:$C,2,0),0)</f>
        <v>701640660</v>
      </c>
      <c r="I182" s="16">
        <f>IFERROR(VLOOKUP($B182,'SAP 금액'!$A:$C,3,0),0)</f>
        <v>70164067</v>
      </c>
      <c r="J182" s="16">
        <f>IFERROR(VLOOKUP(B182,'SAP 금액'!E:F,2,0),0)</f>
        <v>98648</v>
      </c>
      <c r="K182" s="16">
        <f>VLOOKUP($B182,'국세청 금액'!$A:$C,2,0)</f>
        <v>1134837221</v>
      </c>
      <c r="L182" s="16">
        <f>VLOOKUP($B182,'국세청 금액'!$A:$C,3,0)</f>
        <v>113483723</v>
      </c>
      <c r="M182" s="16">
        <f>VLOOKUP(B182,'국세청 금액'!A:D,4,0)</f>
        <v>98648</v>
      </c>
      <c r="N182" s="17">
        <f t="shared" si="19"/>
        <v>433196561</v>
      </c>
      <c r="O182" s="17">
        <f t="shared" si="20"/>
        <v>43319656</v>
      </c>
      <c r="P182" s="17">
        <f t="shared" si="21"/>
        <v>0</v>
      </c>
      <c r="Q182" s="4" t="b">
        <f t="shared" si="22"/>
        <v>1</v>
      </c>
      <c r="R182" s="4" t="b">
        <f t="shared" si="23"/>
        <v>0</v>
      </c>
    </row>
    <row r="183" spans="2:18" x14ac:dyDescent="0.25">
      <c r="B183" s="15" t="s">
        <v>359</v>
      </c>
      <c r="C183" s="15" t="s">
        <v>360</v>
      </c>
      <c r="D183" s="15" t="s">
        <v>541</v>
      </c>
      <c r="E183" s="4" t="str">
        <f t="shared" si="16"/>
        <v>215</v>
      </c>
      <c r="F183" s="4" t="str">
        <f t="shared" si="17"/>
        <v>85</v>
      </c>
      <c r="G183" s="4" t="str">
        <f t="shared" si="18"/>
        <v>48957</v>
      </c>
      <c r="H183" s="16">
        <f>IFERROR(VLOOKUP($B183,'SAP 금액'!$A:$C,2,0),0)</f>
        <v>332074056</v>
      </c>
      <c r="I183" s="16">
        <f>IFERROR(VLOOKUP($B183,'SAP 금액'!$A:$C,3,0),0)</f>
        <v>33207405</v>
      </c>
      <c r="J183" s="16">
        <f>IFERROR(VLOOKUP(B183,'SAP 금액'!E:F,2,0),0)</f>
        <v>0</v>
      </c>
      <c r="K183" s="16">
        <f>VLOOKUP($B183,'국세청 금액'!$A:$C,2,0)</f>
        <v>332074056</v>
      </c>
      <c r="L183" s="16">
        <f>VLOOKUP($B183,'국세청 금액'!$A:$C,3,0)</f>
        <v>33207405</v>
      </c>
      <c r="M183" s="16">
        <f>VLOOKUP(B183,'국세청 금액'!A:D,4,0)</f>
        <v>0</v>
      </c>
      <c r="N183" s="17">
        <f t="shared" si="19"/>
        <v>0</v>
      </c>
      <c r="O183" s="17">
        <f t="shared" si="20"/>
        <v>0</v>
      </c>
      <c r="P183" s="17">
        <f t="shared" si="21"/>
        <v>0</v>
      </c>
      <c r="Q183" s="4" t="b">
        <f t="shared" si="22"/>
        <v>0</v>
      </c>
      <c r="R183" s="4" t="b">
        <f t="shared" si="23"/>
        <v>0</v>
      </c>
    </row>
  </sheetData>
  <mergeCells count="3">
    <mergeCell ref="H2:J2"/>
    <mergeCell ref="K2:M2"/>
    <mergeCell ref="N2:P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차이 금액</vt:lpstr>
      <vt:lpstr>Sheet1</vt:lpstr>
      <vt:lpstr>국세청 금액</vt:lpstr>
      <vt:lpstr>SAP 금액</vt:lpstr>
      <vt:lpstr>사업장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이동훈(이네스트 패션매입재무행정팀)</dc:creator>
  <cp:lastModifiedBy>이동훈(이네스트 패션매입재무행정팀)</cp:lastModifiedBy>
  <dcterms:created xsi:type="dcterms:W3CDTF">2020-10-25T05:41:21Z</dcterms:created>
  <dcterms:modified xsi:type="dcterms:W3CDTF">2020-11-06T07:51:08Z</dcterms:modified>
</cp:coreProperties>
</file>